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beemmil@umich.edu/eco-warm/docs/labNotes/"/>
    </mc:Choice>
  </mc:AlternateContent>
  <xr:revisionPtr revIDLastSave="0" documentId="13_ncr:1_{AB6921B5-1CB3-D047-B0AD-FBFE6B712C0F}" xr6:coauthVersionLast="47" xr6:coauthVersionMax="47" xr10:uidLastSave="{00000000-0000-0000-0000-000000000000}"/>
  <bookViews>
    <workbookView xWindow="-1980" yWindow="-20520" windowWidth="30240" windowHeight="18880" activeTab="1" xr2:uid="{FD5DEE13-049E-9340-B085-721D54FA539E}"/>
  </bookViews>
  <sheets>
    <sheet name="Sheet1" sheetId="1" r:id="rId1"/>
    <sheet name="yields" sheetId="2" r:id="rId2"/>
    <sheet name="tools" sheetId="3" r:id="rId3"/>
  </sheets>
  <calcPr calcId="191029"/>
  <pivotCaches>
    <pivotCache cacheId="0" r:id="rId4"/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E6" i="3"/>
  <c r="E5" i="3"/>
  <c r="B4" i="3"/>
  <c r="E3" i="3" s="1"/>
  <c r="E4" i="3"/>
  <c r="M2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<sst xmlns="http://schemas.openxmlformats.org/spreadsheetml/2006/main" count="504" uniqueCount="118">
  <si>
    <t>Sample ID</t>
  </si>
  <si>
    <t>PP</t>
  </si>
  <si>
    <t>Treatment</t>
  </si>
  <si>
    <t>Depth ( cm)</t>
  </si>
  <si>
    <t>Replicate</t>
  </si>
  <si>
    <t>Flushing Time with Zero Air ( min)</t>
  </si>
  <si>
    <t>CO2 at the end of the flushing Li-830 (μmol mol-1)</t>
  </si>
  <si>
    <t>Target CO2 (ppm)</t>
  </si>
  <si>
    <t>Difference (ppm)</t>
  </si>
  <si>
    <t>B1</t>
  </si>
  <si>
    <t>Control</t>
  </si>
  <si>
    <t>0-10</t>
  </si>
  <si>
    <t>A</t>
  </si>
  <si>
    <t>B2</t>
  </si>
  <si>
    <t>B</t>
  </si>
  <si>
    <t>B5</t>
  </si>
  <si>
    <t>B6</t>
  </si>
  <si>
    <t>B9</t>
  </si>
  <si>
    <t>B10</t>
  </si>
  <si>
    <t>B13</t>
  </si>
  <si>
    <t>B14</t>
  </si>
  <si>
    <t>B17</t>
  </si>
  <si>
    <t>B18</t>
  </si>
  <si>
    <t>B21</t>
  </si>
  <si>
    <t>B22</t>
  </si>
  <si>
    <t>B25</t>
  </si>
  <si>
    <t>10-30</t>
  </si>
  <si>
    <t>B26</t>
  </si>
  <si>
    <t>B29</t>
  </si>
  <si>
    <t>B30</t>
  </si>
  <si>
    <t>B33</t>
  </si>
  <si>
    <t>B34</t>
  </si>
  <si>
    <t>B37</t>
  </si>
  <si>
    <t>B38</t>
  </si>
  <si>
    <t>B41</t>
  </si>
  <si>
    <t>B42</t>
  </si>
  <si>
    <t>B45</t>
  </si>
  <si>
    <t>B46</t>
  </si>
  <si>
    <t>B49</t>
  </si>
  <si>
    <t>Heated</t>
  </si>
  <si>
    <t>B50</t>
  </si>
  <si>
    <t>B53</t>
  </si>
  <si>
    <t>B54</t>
  </si>
  <si>
    <t>B57</t>
  </si>
  <si>
    <t>B58</t>
  </si>
  <si>
    <t>B61</t>
  </si>
  <si>
    <t>B62</t>
  </si>
  <si>
    <t>B65</t>
  </si>
  <si>
    <t>B66</t>
  </si>
  <si>
    <t>B69</t>
  </si>
  <si>
    <t>B70</t>
  </si>
  <si>
    <t>B73</t>
  </si>
  <si>
    <t>B74</t>
  </si>
  <si>
    <t>B77</t>
  </si>
  <si>
    <t>B78</t>
  </si>
  <si>
    <t>B81</t>
  </si>
  <si>
    <t>B82</t>
  </si>
  <si>
    <t>B85</t>
  </si>
  <si>
    <t>B86</t>
  </si>
  <si>
    <t>B89</t>
  </si>
  <si>
    <t>B90</t>
  </si>
  <si>
    <t>B93</t>
  </si>
  <si>
    <t>B94</t>
  </si>
  <si>
    <t>CO2 after 1 Day_GC (ppm)</t>
  </si>
  <si>
    <t>CO2 after 7 Days_ GC (ppm)</t>
  </si>
  <si>
    <t>CO2 after 1 Hour _ GC (ppm)</t>
  </si>
  <si>
    <t>CO2 after 14 Days_ GC (ppm)</t>
  </si>
  <si>
    <t>subsamples (ml)</t>
  </si>
  <si>
    <t>units</t>
  </si>
  <si>
    <t>element</t>
  </si>
  <si>
    <t>atomic.mass</t>
  </si>
  <si>
    <t>gas law</t>
  </si>
  <si>
    <t>PV=nRT</t>
  </si>
  <si>
    <t>C</t>
  </si>
  <si>
    <t>gas constant (R)</t>
  </si>
  <si>
    <t>atm L mol-1 K-1</t>
  </si>
  <si>
    <t>O</t>
  </si>
  <si>
    <t>mole fraction C</t>
  </si>
  <si>
    <t>CO2</t>
  </si>
  <si>
    <t>ppm</t>
  </si>
  <si>
    <t>moles gas @ 20C, 1 atm, 1L</t>
  </si>
  <si>
    <t>mol L-1</t>
  </si>
  <si>
    <t>pure CO2</t>
  </si>
  <si>
    <t>g L-1</t>
  </si>
  <si>
    <t>variable</t>
  </si>
  <si>
    <t>value</t>
  </si>
  <si>
    <t>yield_mgC</t>
  </si>
  <si>
    <t>volume (mL)</t>
  </si>
  <si>
    <t>PP_trt_d</t>
  </si>
  <si>
    <t>Row Labels</t>
  </si>
  <si>
    <t>1_Control_0-10</t>
  </si>
  <si>
    <t>1_Control_10-30</t>
  </si>
  <si>
    <t>1_Heated_0-10</t>
  </si>
  <si>
    <t>1_Heated_10-30</t>
  </si>
  <si>
    <t>2_Control_0-10</t>
  </si>
  <si>
    <t>2_Control_10-30</t>
  </si>
  <si>
    <t>2_Heated_0-10</t>
  </si>
  <si>
    <t>2_Heated_10-30</t>
  </si>
  <si>
    <t>3_Control_0-10</t>
  </si>
  <si>
    <t>3_Control_10-30</t>
  </si>
  <si>
    <t>3_Heated_0-10</t>
  </si>
  <si>
    <t>3_Heated_10-30</t>
  </si>
  <si>
    <t>4_Control_0-10</t>
  </si>
  <si>
    <t>4_Control_10-30</t>
  </si>
  <si>
    <t>4_Heated_0-10</t>
  </si>
  <si>
    <t>4_Heated_10-30</t>
  </si>
  <si>
    <t>5_Control_0-10</t>
  </si>
  <si>
    <t>5_Control_10-30</t>
  </si>
  <si>
    <t>5_Heated_0-10</t>
  </si>
  <si>
    <t>5_Heated_10-30</t>
  </si>
  <si>
    <t>6_Control_0-10</t>
  </si>
  <si>
    <t>6_Control_10-30</t>
  </si>
  <si>
    <t>6_Heated_0-10</t>
  </si>
  <si>
    <t>6_Heated_10-30</t>
  </si>
  <si>
    <t>Grand Total</t>
  </si>
  <si>
    <t>Sum of yield_mgC</t>
  </si>
  <si>
    <t>(blank)</t>
  </si>
  <si>
    <t>Sum of CO2 after 14 Days_ GC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</si>
</sst>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1"/>
      <color rgb="FFFF0000"/>
      <name val="Aptos Narrow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1" fillId="3" borderId="3" xfId="0" applyFont="1" applyFill="1" applyBorder="1"/>
    <xf numFmtId="0" fontId="0" fillId="3" borderId="3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3" borderId="2" xfId="0" applyFont="1" applyFill="1" applyBorder="1"/>
    <xf numFmtId="0" fontId="0" fillId="3" borderId="2" xfId="0" applyFill="1" applyBorder="1"/>
    <xf numFmtId="0" fontId="1" fillId="4" borderId="3" xfId="0" applyFont="1" applyFill="1" applyBorder="1"/>
    <xf numFmtId="0" fontId="0" fillId="4" borderId="3" xfId="0" applyFill="1" applyBorder="1"/>
    <xf numFmtId="0" fontId="1" fillId="4" borderId="1" xfId="0" applyFont="1" applyFill="1" applyBorder="1"/>
    <xf numFmtId="0" fontId="0" fillId="4" borderId="1" xfId="0" applyFill="1" applyBorder="1"/>
    <xf numFmtId="2" fontId="0" fillId="0" borderId="0" xfId="0" applyNumberFormat="1"/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2" fontId="0" fillId="0" borderId="3" xfId="0" applyNumberFormat="1" applyBorder="1"/>
    <xf numFmtId="0" fontId="1" fillId="5" borderId="1" xfId="0" applyFont="1" applyFill="1" applyBorder="1"/>
    <xf numFmtId="0" fontId="0" fillId="5" borderId="1" xfId="0" applyFill="1" applyBorder="1"/>
    <xf numFmtId="0" fontId="1" fillId="5" borderId="2" xfId="0" applyFont="1" applyFill="1" applyBorder="1"/>
    <xf numFmtId="0" fontId="0" fillId="5" borderId="2" xfId="0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2" fontId="2" fillId="0" borderId="0" xfId="0" applyNumberFormat="1" applyFont="1" applyAlignment="1">
      <alignment horizontal="center" vertical="top" wrapText="1"/>
    </xf>
    <xf numFmtId="2" fontId="2" fillId="0" borderId="1" xfId="0" applyNumberFormat="1" applyFont="1" applyBorder="1"/>
    <xf numFmtId="2" fontId="2" fillId="0" borderId="2" xfId="0" applyNumberFormat="1" applyFont="1" applyBorder="1"/>
    <xf numFmtId="2" fontId="2" fillId="0" borderId="3" xfId="0" applyNumberFormat="1" applyFont="1" applyBorder="1"/>
    <xf numFmtId="2" fontId="2" fillId="0" borderId="0" xfId="0" applyNumberFormat="1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0" borderId="1" xfId="0" applyFont="1" applyBorder="1"/>
    <xf numFmtId="2" fontId="4" fillId="0" borderId="1" xfId="0" applyNumberFormat="1" applyFont="1" applyBorder="1"/>
    <xf numFmtId="2" fontId="5" fillId="0" borderId="1" xfId="0" applyNumberFormat="1" applyFont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em-Miller, Jeffrey" refreshedDate="45797.565875347223" createdVersion="8" refreshedVersion="8" minRefreshableVersion="3" recordCount="48" xr:uid="{B90A829D-B6A1-A547-9267-872ACDE23A7A}">
  <cacheSource type="worksheet">
    <worksheetSource ref="A1:I49" sheet="yields"/>
  </cacheSource>
  <cacheFields count="9">
    <cacheField name="Sample ID" numFmtId="0">
      <sharedItems/>
    </cacheField>
    <cacheField name="PP" numFmtId="0">
      <sharedItems containsSemiMixedTypes="0" containsString="0" containsNumber="1" containsInteger="1" minValue="1" maxValue="6"/>
    </cacheField>
    <cacheField name="Treatment" numFmtId="0">
      <sharedItems/>
    </cacheField>
    <cacheField name="Depth ( cm)" numFmtId="0">
      <sharedItems/>
    </cacheField>
    <cacheField name="PP_trt_d" numFmtId="0">
      <sharedItems count="24">
        <s v="1_Control_0-10"/>
        <s v="2_Control_0-10"/>
        <s v="3_Control_0-10"/>
        <s v="4_Control_0-10"/>
        <s v="5_Control_0-10"/>
        <s v="6_Control_0-10"/>
        <s v="1_Control_10-30"/>
        <s v="2_Control_10-30"/>
        <s v="3_Control_10-30"/>
        <s v="4_Control_10-30"/>
        <s v="5_Control_10-30"/>
        <s v="6_Control_10-30"/>
        <s v="1_Heated_0-10"/>
        <s v="2_Heated_0-10"/>
        <s v="3_Heated_0-10"/>
        <s v="4_Heated_0-10"/>
        <s v="5_Heated_0-10"/>
        <s v="6_Heated_0-10"/>
        <s v="1_Heated_10-30"/>
        <s v="2_Heated_10-30"/>
        <s v="3_Heated_10-30"/>
        <s v="4_Heated_10-30"/>
        <s v="5_Heated_10-30"/>
        <s v="6_Heated_10-30"/>
      </sharedItems>
    </cacheField>
    <cacheField name="Replicate" numFmtId="0">
      <sharedItems/>
    </cacheField>
    <cacheField name="CO2 after 14 Days_ GC (ppm)" numFmtId="2">
      <sharedItems containsSemiMixedTypes="0" containsString="0" containsNumber="1" minValue="1369.0925062000001" maxValue="18343.247420600001"/>
    </cacheField>
    <cacheField name="volume (mL)" numFmtId="0">
      <sharedItems containsSemiMixedTypes="0" containsString="0" containsNumber="1" containsInteger="1" minValue="240" maxValue="240"/>
    </cacheField>
    <cacheField name="yield_mgC" numFmtId="0">
      <sharedItems containsSemiMixedTypes="0" containsString="0" containsNumber="1" minValue="0.13457291528518772" maxValue="1.80302227205897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em-Miller, Jeffrey" refreshedDate="45834.901583101855" createdVersion="8" refreshedVersion="8" minRefreshableVersion="3" recordCount="49" xr:uid="{3AB1EE37-B10C-3448-A50C-400CDCA37B42}">
  <cacheSource type="worksheet">
    <worksheetSource ref="E1:G1048576" sheet="yields"/>
  </cacheSource>
  <cacheFields count="3">
    <cacheField name="PP_trt_d" numFmtId="0">
      <sharedItems containsBlank="1" count="25">
        <s v="1_Control_0-10"/>
        <s v="2_Control_0-10"/>
        <s v="3_Control_0-10"/>
        <s v="4_Control_0-10"/>
        <s v="5_Control_0-10"/>
        <s v="6_Control_0-10"/>
        <s v="1_Control_10-30"/>
        <s v="2_Control_10-30"/>
        <s v="3_Control_10-30"/>
        <s v="4_Control_10-30"/>
        <s v="5_Control_10-30"/>
        <s v="6_Control_10-30"/>
        <s v="1_Heated_0-10"/>
        <s v="2_Heated_0-10"/>
        <s v="3_Heated_0-10"/>
        <s v="4_Heated_0-10"/>
        <s v="5_Heated_0-10"/>
        <s v="6_Heated_0-10"/>
        <s v="1_Heated_10-30"/>
        <s v="2_Heated_10-30"/>
        <s v="3_Heated_10-30"/>
        <s v="4_Heated_10-30"/>
        <s v="5_Heated_10-30"/>
        <s v="6_Heated_10-30"/>
        <m/>
      </sharedItems>
    </cacheField>
    <cacheField name="Replicate" numFmtId="0">
      <sharedItems containsBlank="1"/>
    </cacheField>
    <cacheField name="CO2 after 14 Days_ GC (ppm)" numFmtId="0">
      <sharedItems containsString="0" containsBlank="1" containsNumber="1" minValue="1369.0925062000001" maxValue="18343.2474206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B1"/>
    <n v="1"/>
    <s v="Control"/>
    <s v="0-10"/>
    <x v="0"/>
    <s v="A"/>
    <n v="7750.8147645999998"/>
    <n v="240"/>
    <n v="0.76185483010402744"/>
  </r>
  <r>
    <s v="B2"/>
    <n v="1"/>
    <s v="Control"/>
    <s v="0-10"/>
    <x v="0"/>
    <s v="B"/>
    <n v="7521.8642374000001"/>
    <n v="240"/>
    <n v="0.73935047794238917"/>
  </r>
  <r>
    <s v="B5"/>
    <n v="2"/>
    <s v="Control"/>
    <s v="0-10"/>
    <x v="1"/>
    <s v="A"/>
    <n v="5620.3584638000002"/>
    <n v="240"/>
    <n v="0.55244479098102395"/>
  </r>
  <r>
    <s v="B6"/>
    <n v="2"/>
    <s v="Control"/>
    <s v="0-10"/>
    <x v="1"/>
    <s v="B"/>
    <n v="5624.8570821999992"/>
    <n v="240"/>
    <n v="0.55288697599781567"/>
  </r>
  <r>
    <s v="B9"/>
    <n v="3"/>
    <s v="Control"/>
    <s v="0-10"/>
    <x v="2"/>
    <s v="A"/>
    <n v="3450.8758045999998"/>
    <n v="240"/>
    <n v="0.3391987138992491"/>
  </r>
  <r>
    <s v="B10"/>
    <n v="3"/>
    <s v="Control"/>
    <s v="0-10"/>
    <x v="2"/>
    <s v="B"/>
    <n v="2918.4228429999998"/>
    <n v="240"/>
    <n v="0.28686204054061437"/>
  </r>
  <r>
    <s v="B13"/>
    <n v="4"/>
    <s v="Control"/>
    <s v="0-10"/>
    <x v="3"/>
    <s v="A"/>
    <n v="5262.3358037999997"/>
    <n v="240"/>
    <n v="0.51725348515167235"/>
  </r>
  <r>
    <s v="B14"/>
    <n v="4"/>
    <s v="Control"/>
    <s v="0-10"/>
    <x v="3"/>
    <s v="B"/>
    <n v="4918.3779805999993"/>
    <n v="240"/>
    <n v="0.48344466157433452"/>
  </r>
  <r>
    <s v="B17"/>
    <n v="5"/>
    <s v="Control"/>
    <s v="0-10"/>
    <x v="4"/>
    <s v="A"/>
    <n v="6670.6370958000007"/>
    <n v="240"/>
    <n v="0.65568036982607525"/>
  </r>
  <r>
    <s v="B18"/>
    <n v="5"/>
    <s v="Control"/>
    <s v="0-10"/>
    <x v="4"/>
    <s v="B"/>
    <n v="6841.6012246"/>
    <n v="240"/>
    <n v="0.67248503504600687"/>
  </r>
  <r>
    <s v="B21"/>
    <n v="6"/>
    <s v="Control"/>
    <s v="0-10"/>
    <x v="5"/>
    <s v="A"/>
    <n v="17046.684543799998"/>
    <n v="240"/>
    <n v="1.6755785490151538"/>
  </r>
  <r>
    <s v="B22"/>
    <n v="6"/>
    <s v="Control"/>
    <s v="0-10"/>
    <x v="5"/>
    <s v="B"/>
    <n v="18343.247420600001"/>
    <n v="240"/>
    <n v="1.8030222720589764"/>
  </r>
  <r>
    <s v="B25"/>
    <n v="1"/>
    <s v="Control"/>
    <s v="10-30"/>
    <x v="6"/>
    <s v="A"/>
    <n v="2735.2070285999998"/>
    <n v="240"/>
    <n v="0.26885311407399315"/>
  </r>
  <r>
    <s v="B26"/>
    <n v="1"/>
    <s v="Control"/>
    <s v="10-30"/>
    <x v="6"/>
    <s v="B"/>
    <n v="3735.1993245999997"/>
    <n v="240"/>
    <n v="0.36714587217911265"/>
  </r>
  <r>
    <s v="B29"/>
    <n v="2"/>
    <s v="Control"/>
    <s v="10-30"/>
    <x v="7"/>
    <s v="A"/>
    <n v="2866.1663749999998"/>
    <n v="240"/>
    <n v="0.2817255686006826"/>
  </r>
  <r>
    <s v="B30"/>
    <n v="2"/>
    <s v="Control"/>
    <s v="10-30"/>
    <x v="7"/>
    <s v="B"/>
    <n v="2602.6399902000003"/>
    <n v="240"/>
    <n v="0.25582263384901027"/>
  </r>
  <r>
    <s v="B33"/>
    <n v="3"/>
    <s v="Control"/>
    <s v="10-30"/>
    <x v="8"/>
    <s v="A"/>
    <n v="1755.8766333999999"/>
    <n v="240"/>
    <n v="0.17259128683249148"/>
  </r>
  <r>
    <s v="B34"/>
    <n v="3"/>
    <s v="Control"/>
    <s v="10-30"/>
    <x v="8"/>
    <s v="B"/>
    <n v="1369.0925062000001"/>
    <n v="240"/>
    <n v="0.13457291528518772"/>
  </r>
  <r>
    <s v="B37"/>
    <n v="4"/>
    <s v="Control"/>
    <s v="10-30"/>
    <x v="9"/>
    <s v="A"/>
    <n v="4301.7533309999999"/>
    <n v="240"/>
    <n v="0.42283445710853246"/>
  </r>
  <r>
    <s v="B38"/>
    <n v="4"/>
    <s v="Control"/>
    <s v="10-30"/>
    <x v="9"/>
    <s v="B"/>
    <n v="4195.4446277999996"/>
    <n v="240"/>
    <n v="0.41238500095781566"/>
  </r>
  <r>
    <s v="B41"/>
    <n v="5"/>
    <s v="Control"/>
    <s v="10-30"/>
    <x v="10"/>
    <s v="A"/>
    <n v="2613.7286862000001"/>
    <n v="240"/>
    <n v="0.2569125807595905"/>
  </r>
  <r>
    <s v="B42"/>
    <n v="5"/>
    <s v="Control"/>
    <s v="10-30"/>
    <x v="10"/>
    <s v="B"/>
    <n v="2535.5390622"/>
    <n v="240"/>
    <n v="0.2492270477520819"/>
  </r>
  <r>
    <s v="B45"/>
    <n v="6"/>
    <s v="Control"/>
    <s v="10-30"/>
    <x v="11"/>
    <s v="A"/>
    <n v="7356.6074070000004"/>
    <n v="240"/>
    <n v="0.72310680314539255"/>
  </r>
  <r>
    <s v="B46"/>
    <n v="6"/>
    <s v="Control"/>
    <s v="10-30"/>
    <x v="11"/>
    <s v="B"/>
    <n v="8440.8601150000013"/>
    <n v="240"/>
    <n v="0.82968181335153601"/>
  </r>
  <r>
    <s v="B49"/>
    <n v="1"/>
    <s v="Heated"/>
    <s v="0-10"/>
    <x v="12"/>
    <s v="A"/>
    <n v="11261.099267800002"/>
    <n v="240"/>
    <n v="1.1068930338315361"/>
  </r>
  <r>
    <s v="B50"/>
    <n v="1"/>
    <s v="Heated"/>
    <s v="0-10"/>
    <x v="12"/>
    <s v="B"/>
    <n v="12298.752523800002"/>
    <n v="240"/>
    <n v="1.2088876200868264"/>
  </r>
  <r>
    <s v="B53"/>
    <n v="2"/>
    <s v="Heated"/>
    <s v="0-10"/>
    <x v="13"/>
    <s v="A"/>
    <n v="9165.9783086000007"/>
    <n v="240"/>
    <n v="0.90095622965078503"/>
  </r>
  <r>
    <s v="B54"/>
    <n v="2"/>
    <s v="Heated"/>
    <s v="0-10"/>
    <x v="13"/>
    <s v="B"/>
    <n v="10315.932499800001"/>
    <n v="240"/>
    <n v="1.0139892696049149"/>
  </r>
  <r>
    <s v="B57"/>
    <n v="3"/>
    <s v="Heated"/>
    <s v="0-10"/>
    <x v="14"/>
    <s v="A"/>
    <n v="5626.702115"/>
    <n v="240"/>
    <n v="0.55306833075767914"/>
  </r>
  <r>
    <s v="B58"/>
    <n v="3"/>
    <s v="Heated"/>
    <s v="0-10"/>
    <x v="14"/>
    <s v="B"/>
    <n v="5114.2971037999996"/>
    <n v="240"/>
    <n v="0.50270224091959048"/>
  </r>
  <r>
    <s v="B61"/>
    <n v="4"/>
    <s v="Heated"/>
    <s v="0-10"/>
    <x v="15"/>
    <s v="A"/>
    <n v="9868.5811062000012"/>
    <n v="240"/>
    <n v="0.97001752852750867"/>
  </r>
  <r>
    <s v="B62"/>
    <n v="4"/>
    <s v="Heated"/>
    <s v="0-10"/>
    <x v="15"/>
    <s v="B"/>
    <n v="8900.9722502000004"/>
    <n v="240"/>
    <n v="0.87490785257938575"/>
  </r>
  <r>
    <s v="B65"/>
    <n v="5"/>
    <s v="Heated"/>
    <s v="0-10"/>
    <x v="16"/>
    <s v="A"/>
    <n v="13206.895996600002"/>
    <n v="240"/>
    <n v="1.2981522344780889"/>
  </r>
  <r>
    <s v="B66"/>
    <n v="5"/>
    <s v="Heated"/>
    <s v="0-10"/>
    <x v="16"/>
    <s v="B"/>
    <n v="15636.126611800002"/>
    <n v="240"/>
    <n v="1.5369298512622529"/>
  </r>
  <r>
    <s v="B69"/>
    <n v="6"/>
    <s v="Heated"/>
    <s v="0-10"/>
    <x v="17"/>
    <s v="A"/>
    <n v="8870.3015934000014"/>
    <n v="240"/>
    <n v="0.87189312590416401"/>
  </r>
  <r>
    <s v="B70"/>
    <n v="6"/>
    <s v="Heated"/>
    <s v="0-10"/>
    <x v="17"/>
    <s v="B"/>
    <n v="11610.274849400001"/>
    <n v="240"/>
    <n v="1.1412147292243007"/>
  </r>
  <r>
    <s v="B73"/>
    <n v="1"/>
    <s v="Heated"/>
    <s v="10-30"/>
    <x v="18"/>
    <s v="A"/>
    <n v="5999.2573069999999"/>
    <n v="240"/>
    <n v="0.58968809024436863"/>
  </r>
  <r>
    <s v="B74"/>
    <n v="1"/>
    <s v="Heated"/>
    <s v="10-30"/>
    <x v="18"/>
    <s v="B"/>
    <n v="6732.1732413999998"/>
    <n v="240"/>
    <n v="0.66172897389870322"/>
  </r>
  <r>
    <s v="B77"/>
    <n v="2"/>
    <s v="Heated"/>
    <s v="10-30"/>
    <x v="19"/>
    <s v="A"/>
    <n v="3978.6457462000003"/>
    <n v="240"/>
    <n v="0.39107507675959058"/>
  </r>
  <r>
    <s v="B78"/>
    <n v="2"/>
    <s v="Heated"/>
    <s v="10-30"/>
    <x v="19"/>
    <s v="B"/>
    <n v="3491.8798390000002"/>
    <n v="240"/>
    <n v="0.34322914458430043"/>
  </r>
  <r>
    <s v="B81"/>
    <n v="3"/>
    <s v="Heated"/>
    <s v="10-30"/>
    <x v="20"/>
    <s v="A"/>
    <n v="3157.0838429999999"/>
    <n v="240"/>
    <n v="0.31032086920955632"/>
  </r>
  <r>
    <s v="B82"/>
    <n v="3"/>
    <s v="Heated"/>
    <s v="10-30"/>
    <x v="20"/>
    <s v="B"/>
    <n v="3149.5440414000004"/>
    <n v="240"/>
    <n v="0.30957975560518775"/>
  </r>
  <r>
    <s v="B85"/>
    <n v="4"/>
    <s v="Heated"/>
    <s v="10-30"/>
    <x v="21"/>
    <s v="A"/>
    <n v="3385.1595285999997"/>
    <n v="240"/>
    <n v="0.33273923011494883"/>
  </r>
  <r>
    <s v="B86"/>
    <n v="4"/>
    <s v="Heated"/>
    <s v="10-30"/>
    <x v="21"/>
    <s v="B"/>
    <n v="3551.4493294000004"/>
    <n v="240"/>
    <n v="0.34908443920382259"/>
  </r>
  <r>
    <s v="B89"/>
    <n v="5"/>
    <s v="Heated"/>
    <s v="10-30"/>
    <x v="22"/>
    <s v="A"/>
    <n v="5791.1726638000009"/>
    <n v="240"/>
    <n v="0.56923471917215029"/>
  </r>
  <r>
    <s v="B90"/>
    <n v="5"/>
    <s v="Heated"/>
    <s v="10-30"/>
    <x v="22"/>
    <s v="B"/>
    <n v="5354.7289757999997"/>
    <n v="240"/>
    <n v="0.52633513482266214"/>
  </r>
  <r>
    <s v="B93"/>
    <n v="6"/>
    <s v="Heated"/>
    <s v="10-30"/>
    <x v="23"/>
    <s v="A"/>
    <n v="4163.3265726"/>
    <n v="240"/>
    <n v="0.40922800440573387"/>
  </r>
  <r>
    <s v="B94"/>
    <n v="6"/>
    <s v="Heated"/>
    <s v="10-30"/>
    <x v="23"/>
    <s v="B"/>
    <n v="4000.3312694000001"/>
    <n v="240"/>
    <n v="0.393206623067303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A"/>
    <n v="7750.8147645999998"/>
  </r>
  <r>
    <x v="0"/>
    <s v="B"/>
    <n v="7521.8642374000001"/>
  </r>
  <r>
    <x v="1"/>
    <s v="A"/>
    <n v="5620.3584638000002"/>
  </r>
  <r>
    <x v="1"/>
    <s v="B"/>
    <n v="5624.8570821999992"/>
  </r>
  <r>
    <x v="2"/>
    <s v="A"/>
    <n v="3450.8758045999998"/>
  </r>
  <r>
    <x v="2"/>
    <s v="B"/>
    <n v="2918.4228429999998"/>
  </r>
  <r>
    <x v="3"/>
    <s v="A"/>
    <n v="5262.3358037999997"/>
  </r>
  <r>
    <x v="3"/>
    <s v="B"/>
    <n v="4918.3779805999993"/>
  </r>
  <r>
    <x v="4"/>
    <s v="A"/>
    <n v="6670.6370958000007"/>
  </r>
  <r>
    <x v="4"/>
    <s v="B"/>
    <n v="6841.6012246"/>
  </r>
  <r>
    <x v="5"/>
    <s v="A"/>
    <n v="17046.684543799998"/>
  </r>
  <r>
    <x v="5"/>
    <s v="B"/>
    <n v="18343.247420600001"/>
  </r>
  <r>
    <x v="6"/>
    <s v="A"/>
    <n v="2735.2070285999998"/>
  </r>
  <r>
    <x v="6"/>
    <s v="B"/>
    <n v="3735.1993245999997"/>
  </r>
  <r>
    <x v="7"/>
    <s v="A"/>
    <n v="2866.1663749999998"/>
  </r>
  <r>
    <x v="7"/>
    <s v="B"/>
    <n v="2602.6399902000003"/>
  </r>
  <r>
    <x v="8"/>
    <s v="A"/>
    <n v="1755.8766333999999"/>
  </r>
  <r>
    <x v="8"/>
    <s v="B"/>
    <n v="1369.0925062000001"/>
  </r>
  <r>
    <x v="9"/>
    <s v="A"/>
    <n v="4301.7533309999999"/>
  </r>
  <r>
    <x v="9"/>
    <s v="B"/>
    <n v="4195.4446277999996"/>
  </r>
  <r>
    <x v="10"/>
    <s v="A"/>
    <n v="2613.7286862000001"/>
  </r>
  <r>
    <x v="10"/>
    <s v="B"/>
    <n v="2535.5390622"/>
  </r>
  <r>
    <x v="11"/>
    <s v="A"/>
    <n v="7356.6074070000004"/>
  </r>
  <r>
    <x v="11"/>
    <s v="B"/>
    <n v="8440.8601150000013"/>
  </r>
  <r>
    <x v="12"/>
    <s v="A"/>
    <n v="11261.099267800002"/>
  </r>
  <r>
    <x v="12"/>
    <s v="B"/>
    <n v="12298.752523800002"/>
  </r>
  <r>
    <x v="13"/>
    <s v="A"/>
    <n v="9165.9783086000007"/>
  </r>
  <r>
    <x v="13"/>
    <s v="B"/>
    <n v="10315.932499800001"/>
  </r>
  <r>
    <x v="14"/>
    <s v="A"/>
    <n v="5626.702115"/>
  </r>
  <r>
    <x v="14"/>
    <s v="B"/>
    <n v="5114.2971037999996"/>
  </r>
  <r>
    <x v="15"/>
    <s v="A"/>
    <n v="9868.5811062000012"/>
  </r>
  <r>
    <x v="15"/>
    <s v="B"/>
    <n v="8900.9722502000004"/>
  </r>
  <r>
    <x v="16"/>
    <s v="A"/>
    <n v="13206.895996600002"/>
  </r>
  <r>
    <x v="16"/>
    <s v="B"/>
    <n v="15636.126611800002"/>
  </r>
  <r>
    <x v="17"/>
    <s v="A"/>
    <n v="8870.3015934000014"/>
  </r>
  <r>
    <x v="17"/>
    <s v="B"/>
    <n v="11610.274849400001"/>
  </r>
  <r>
    <x v="18"/>
    <s v="A"/>
    <n v="5999.2573069999999"/>
  </r>
  <r>
    <x v="18"/>
    <s v="B"/>
    <n v="6732.1732413999998"/>
  </r>
  <r>
    <x v="19"/>
    <s v="A"/>
    <n v="3978.6457462000003"/>
  </r>
  <r>
    <x v="19"/>
    <s v="B"/>
    <n v="3491.8798390000002"/>
  </r>
  <r>
    <x v="20"/>
    <s v="A"/>
    <n v="3157.0838429999999"/>
  </r>
  <r>
    <x v="20"/>
    <s v="B"/>
    <n v="3149.5440414000004"/>
  </r>
  <r>
    <x v="21"/>
    <s v="A"/>
    <n v="3385.1595285999997"/>
  </r>
  <r>
    <x v="21"/>
    <s v="B"/>
    <n v="3551.4493294000004"/>
  </r>
  <r>
    <x v="22"/>
    <s v="A"/>
    <n v="5791.1726638000009"/>
  </r>
  <r>
    <x v="22"/>
    <s v="B"/>
    <n v="5354.7289757999997"/>
  </r>
  <r>
    <x v="23"/>
    <s v="A"/>
    <n v="4163.3265726"/>
  </r>
  <r>
    <x v="23"/>
    <s v="B"/>
    <n v="4000.3312694000001"/>
  </r>
  <r>
    <x v="2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F91A6-572D-F246-A22B-4DEE930C544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27" firstHeaderRow="1" firstDataRow="1" firstDataCol="1"/>
  <pivotFields count="3">
    <pivotField axis="axisRow" showAll="0">
      <items count="26">
        <item x="0"/>
        <item x="6"/>
        <item x="12"/>
        <item x="18"/>
        <item x="1"/>
        <item x="7"/>
        <item x="13"/>
        <item x="19"/>
        <item x="2"/>
        <item x="8"/>
        <item x="14"/>
        <item x="20"/>
        <item x="3"/>
        <item x="9"/>
        <item x="15"/>
        <item x="21"/>
        <item x="4"/>
        <item x="10"/>
        <item x="16"/>
        <item x="22"/>
        <item x="5"/>
        <item x="11"/>
        <item x="17"/>
        <item x="23"/>
        <item x="24"/>
        <item t="default"/>
      </items>
    </pivotField>
    <pivotField showAll="0"/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CO2 after 14 Days_ GC (ppm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B0DCE-B0ED-C147-8361-3A9CC7BBD0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26" firstHeaderRow="1" firstDataRow="1" firstDataCol="1"/>
  <pivotFields count="9">
    <pivotField showAll="0"/>
    <pivotField showAll="0"/>
    <pivotField showAll="0"/>
    <pivotField showAll="0"/>
    <pivotField axis="axisRow" showAll="0">
      <items count="25">
        <item x="0"/>
        <item x="6"/>
        <item x="12"/>
        <item x="18"/>
        <item x="1"/>
        <item x="7"/>
        <item x="13"/>
        <item x="19"/>
        <item x="2"/>
        <item x="8"/>
        <item x="14"/>
        <item x="20"/>
        <item x="3"/>
        <item x="9"/>
        <item x="15"/>
        <item x="21"/>
        <item x="4"/>
        <item x="10"/>
        <item x="16"/>
        <item x="22"/>
        <item x="5"/>
        <item x="11"/>
        <item x="17"/>
        <item x="23"/>
        <item t="default"/>
      </items>
    </pivotField>
    <pivotField showAll="0"/>
    <pivotField numFmtId="2" showAll="0"/>
    <pivotField showAll="0"/>
    <pivotField dataField="1"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yield_mgC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5DF2-2992-974F-B37D-45BBB6561C42}">
  <dimension ref="A1:N49"/>
  <sheetViews>
    <sheetView workbookViewId="0">
      <selection activeCell="N2" sqref="N2:N49"/>
    </sheetView>
  </sheetViews>
  <sheetFormatPr baseColWidth="10" defaultRowHeight="16" x14ac:dyDescent="0.2"/>
  <cols>
    <col min="1" max="1" width="17" customWidth="1"/>
    <col min="2" max="2" width="11.83203125" customWidth="1"/>
    <col min="3" max="3" width="12.83203125" customWidth="1"/>
    <col min="4" max="5" width="11.83203125" customWidth="1"/>
    <col min="6" max="6" width="16.6640625" customWidth="1"/>
    <col min="7" max="7" width="24" customWidth="1"/>
    <col min="8" max="8" width="18" style="14" customWidth="1"/>
    <col min="9" max="9" width="15" style="14" customWidth="1"/>
    <col min="10" max="11" width="15.83203125" style="34" customWidth="1"/>
    <col min="13" max="13" width="15.6640625" customWidth="1"/>
    <col min="14" max="14" width="16.5" customWidth="1"/>
  </cols>
  <sheetData>
    <row r="1" spans="1:14" s="15" customFormat="1" ht="53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65</v>
      </c>
      <c r="I1" s="16" t="s">
        <v>63</v>
      </c>
      <c r="J1" s="30" t="s">
        <v>64</v>
      </c>
      <c r="K1" s="30" t="s">
        <v>66</v>
      </c>
      <c r="L1" s="15" t="s">
        <v>7</v>
      </c>
      <c r="M1" s="15" t="s">
        <v>8</v>
      </c>
      <c r="N1" s="15" t="s">
        <v>67</v>
      </c>
    </row>
    <row r="2" spans="1:14" s="17" customFormat="1" x14ac:dyDescent="0.2">
      <c r="A2" s="23" t="s">
        <v>9</v>
      </c>
      <c r="B2" s="24">
        <v>1</v>
      </c>
      <c r="C2" s="24" t="s">
        <v>10</v>
      </c>
      <c r="D2" s="24" t="s">
        <v>11</v>
      </c>
      <c r="E2" s="24" t="s">
        <v>12</v>
      </c>
      <c r="F2" s="17">
        <v>3</v>
      </c>
      <c r="G2" s="17">
        <v>3.35</v>
      </c>
      <c r="H2" s="18">
        <v>178.58219760000003</v>
      </c>
      <c r="I2" s="18">
        <v>766.86295399999995</v>
      </c>
      <c r="J2" s="31">
        <v>4661.5204991999999</v>
      </c>
      <c r="K2" s="31">
        <v>7750.8147645999998</v>
      </c>
      <c r="L2" s="17">
        <v>10019</v>
      </c>
      <c r="M2" s="18">
        <f>L2-K2</f>
        <v>2268.1852354000002</v>
      </c>
      <c r="N2" s="17">
        <v>240</v>
      </c>
    </row>
    <row r="3" spans="1:14" s="17" customFormat="1" x14ac:dyDescent="0.2">
      <c r="A3" s="23" t="s">
        <v>13</v>
      </c>
      <c r="B3" s="24">
        <v>1</v>
      </c>
      <c r="C3" s="24" t="s">
        <v>10</v>
      </c>
      <c r="D3" s="24" t="s">
        <v>11</v>
      </c>
      <c r="E3" s="24" t="s">
        <v>14</v>
      </c>
      <c r="F3" s="17">
        <v>3</v>
      </c>
      <c r="G3" s="17">
        <v>7.3</v>
      </c>
      <c r="H3" s="18">
        <v>215.94362360000002</v>
      </c>
      <c r="I3" s="18">
        <v>516.02797039999996</v>
      </c>
      <c r="J3" s="31">
        <v>4409.9404068000003</v>
      </c>
      <c r="K3" s="31">
        <v>7521.8642374000001</v>
      </c>
      <c r="L3" s="17">
        <v>10019</v>
      </c>
      <c r="M3" s="18">
        <f t="shared" ref="M3:M49" si="0">L3-J3</f>
        <v>5609.0595931999997</v>
      </c>
      <c r="N3" s="17">
        <v>240</v>
      </c>
    </row>
    <row r="4" spans="1:14" s="17" customFormat="1" x14ac:dyDescent="0.2">
      <c r="A4" s="23" t="s">
        <v>15</v>
      </c>
      <c r="B4" s="24">
        <v>2</v>
      </c>
      <c r="C4" s="24" t="s">
        <v>10</v>
      </c>
      <c r="D4" s="24" t="s">
        <v>11</v>
      </c>
      <c r="E4" s="24" t="s">
        <v>12</v>
      </c>
      <c r="F4" s="17">
        <v>3</v>
      </c>
      <c r="G4" s="17">
        <v>9.1999999999999993</v>
      </c>
      <c r="H4" s="18">
        <v>322.27316039999999</v>
      </c>
      <c r="I4" s="18">
        <v>630.44366560000003</v>
      </c>
      <c r="J4" s="31">
        <v>3076.7380896</v>
      </c>
      <c r="K4" s="31">
        <v>5620.3584638000002</v>
      </c>
      <c r="L4" s="17">
        <v>10019</v>
      </c>
      <c r="M4" s="18">
        <f t="shared" si="0"/>
        <v>6942.2619104000005</v>
      </c>
      <c r="N4" s="17">
        <v>240</v>
      </c>
    </row>
    <row r="5" spans="1:14" s="17" customFormat="1" x14ac:dyDescent="0.2">
      <c r="A5" s="23" t="s">
        <v>16</v>
      </c>
      <c r="B5" s="24">
        <v>2</v>
      </c>
      <c r="C5" s="24" t="s">
        <v>10</v>
      </c>
      <c r="D5" s="24" t="s">
        <v>11</v>
      </c>
      <c r="E5" s="24" t="s">
        <v>14</v>
      </c>
      <c r="F5" s="17">
        <v>3</v>
      </c>
      <c r="G5" s="17">
        <v>13.43</v>
      </c>
      <c r="H5" s="18">
        <v>348.77724480000006</v>
      </c>
      <c r="I5" s="18">
        <v>662.50994220000007</v>
      </c>
      <c r="J5" s="31">
        <v>3065.9315718000007</v>
      </c>
      <c r="K5" s="31">
        <v>5624.8570821999992</v>
      </c>
      <c r="L5" s="17">
        <v>10019</v>
      </c>
      <c r="M5" s="18">
        <f t="shared" si="0"/>
        <v>6953.0684281999993</v>
      </c>
      <c r="N5" s="17">
        <v>240</v>
      </c>
    </row>
    <row r="6" spans="1:14" s="17" customFormat="1" x14ac:dyDescent="0.2">
      <c r="A6" s="23" t="s">
        <v>17</v>
      </c>
      <c r="B6" s="24">
        <v>3</v>
      </c>
      <c r="C6" s="24" t="s">
        <v>10</v>
      </c>
      <c r="D6" s="24" t="s">
        <v>11</v>
      </c>
      <c r="E6" s="24" t="s">
        <v>12</v>
      </c>
      <c r="F6" s="17">
        <v>3</v>
      </c>
      <c r="G6" s="17">
        <v>9</v>
      </c>
      <c r="H6" s="18">
        <v>319.46959160000006</v>
      </c>
      <c r="I6" s="18">
        <v>520.07087660000002</v>
      </c>
      <c r="J6" s="31">
        <v>1889.3167428000002</v>
      </c>
      <c r="K6" s="31">
        <v>3450.8758045999998</v>
      </c>
      <c r="L6" s="17">
        <v>10019</v>
      </c>
      <c r="M6" s="18">
        <f t="shared" si="0"/>
        <v>8129.6832572000003</v>
      </c>
      <c r="N6" s="17">
        <v>240</v>
      </c>
    </row>
    <row r="7" spans="1:14" s="17" customFormat="1" x14ac:dyDescent="0.2">
      <c r="A7" s="23" t="s">
        <v>18</v>
      </c>
      <c r="B7" s="24">
        <v>3</v>
      </c>
      <c r="C7" s="24" t="s">
        <v>10</v>
      </c>
      <c r="D7" s="24" t="s">
        <v>11</v>
      </c>
      <c r="E7" s="24" t="s">
        <v>14</v>
      </c>
      <c r="F7" s="17">
        <v>3</v>
      </c>
      <c r="G7" s="17">
        <v>8.81</v>
      </c>
      <c r="H7" s="18">
        <v>291.32155739999996</v>
      </c>
      <c r="I7" s="18">
        <v>490.77394940000005</v>
      </c>
      <c r="J7" s="31">
        <v>1597.1296359000003</v>
      </c>
      <c r="K7" s="31">
        <v>2918.4228429999998</v>
      </c>
      <c r="L7" s="17">
        <v>10019</v>
      </c>
      <c r="M7" s="18">
        <f t="shared" si="0"/>
        <v>8421.8703640999993</v>
      </c>
      <c r="N7" s="17">
        <v>240</v>
      </c>
    </row>
    <row r="8" spans="1:14" s="17" customFormat="1" x14ac:dyDescent="0.2">
      <c r="A8" s="23" t="s">
        <v>19</v>
      </c>
      <c r="B8" s="24">
        <v>4</v>
      </c>
      <c r="C8" s="24" t="s">
        <v>10</v>
      </c>
      <c r="D8" s="24" t="s">
        <v>11</v>
      </c>
      <c r="E8" s="24" t="s">
        <v>12</v>
      </c>
      <c r="F8" s="17">
        <v>3</v>
      </c>
      <c r="G8" s="17">
        <v>8.44</v>
      </c>
      <c r="H8" s="18">
        <v>262.79479160000005</v>
      </c>
      <c r="I8" s="18">
        <v>578.97467779999999</v>
      </c>
      <c r="J8" s="31">
        <v>2913.0997485000003</v>
      </c>
      <c r="K8" s="31">
        <v>5262.3358037999997</v>
      </c>
      <c r="L8" s="17">
        <v>10019</v>
      </c>
      <c r="M8" s="18">
        <f t="shared" si="0"/>
        <v>7105.9002514999993</v>
      </c>
      <c r="N8" s="17">
        <v>240</v>
      </c>
    </row>
    <row r="9" spans="1:14" s="17" customFormat="1" x14ac:dyDescent="0.2">
      <c r="A9" s="23" t="s">
        <v>20</v>
      </c>
      <c r="B9" s="24">
        <v>4</v>
      </c>
      <c r="C9" s="24" t="s">
        <v>10</v>
      </c>
      <c r="D9" s="24" t="s">
        <v>11</v>
      </c>
      <c r="E9" s="24" t="s">
        <v>14</v>
      </c>
      <c r="F9" s="17">
        <v>3</v>
      </c>
      <c r="G9" s="17">
        <v>11.32</v>
      </c>
      <c r="H9" s="18">
        <v>245.24037780000003</v>
      </c>
      <c r="I9" s="18">
        <v>562.58652619999998</v>
      </c>
      <c r="J9" s="31">
        <v>2849.8281375000001</v>
      </c>
      <c r="K9" s="31">
        <v>4918.3779805999993</v>
      </c>
      <c r="L9" s="17">
        <v>10019</v>
      </c>
      <c r="M9" s="18">
        <f t="shared" si="0"/>
        <v>7169.1718624999994</v>
      </c>
      <c r="N9" s="17">
        <v>240</v>
      </c>
    </row>
    <row r="10" spans="1:14" s="17" customFormat="1" x14ac:dyDescent="0.2">
      <c r="A10" s="23" t="s">
        <v>21</v>
      </c>
      <c r="B10" s="24">
        <v>5</v>
      </c>
      <c r="C10" s="24" t="s">
        <v>10</v>
      </c>
      <c r="D10" s="24" t="s">
        <v>11</v>
      </c>
      <c r="E10" s="24" t="s">
        <v>12</v>
      </c>
      <c r="F10" s="17">
        <v>3</v>
      </c>
      <c r="G10" s="17">
        <v>6.68</v>
      </c>
      <c r="H10" s="18">
        <v>283.55998160000007</v>
      </c>
      <c r="I10" s="18">
        <v>671.8519076</v>
      </c>
      <c r="J10" s="31">
        <v>3664.6788846000004</v>
      </c>
      <c r="K10" s="31">
        <v>6670.6370958000007</v>
      </c>
      <c r="L10" s="17">
        <v>10019</v>
      </c>
      <c r="M10" s="18">
        <f t="shared" si="0"/>
        <v>6354.3211154000001</v>
      </c>
      <c r="N10" s="17">
        <v>240</v>
      </c>
    </row>
    <row r="11" spans="1:14" s="17" customFormat="1" x14ac:dyDescent="0.2">
      <c r="A11" s="23" t="s">
        <v>22</v>
      </c>
      <c r="B11" s="24">
        <v>5</v>
      </c>
      <c r="C11" s="24" t="s">
        <v>10</v>
      </c>
      <c r="D11" s="24" t="s">
        <v>11</v>
      </c>
      <c r="E11" s="24" t="s">
        <v>14</v>
      </c>
      <c r="F11" s="17">
        <v>3</v>
      </c>
      <c r="G11" s="17">
        <v>9.5399999999999991</v>
      </c>
      <c r="H11" s="18">
        <v>291.61787180000005</v>
      </c>
      <c r="I11" s="18">
        <v>690.80295039999999</v>
      </c>
      <c r="J11" s="31">
        <v>3755.4972915000003</v>
      </c>
      <c r="K11" s="31">
        <v>6841.6012246</v>
      </c>
      <c r="L11" s="17">
        <v>10019</v>
      </c>
      <c r="M11" s="18">
        <f t="shared" si="0"/>
        <v>6263.5027085000002</v>
      </c>
      <c r="N11" s="17">
        <v>240</v>
      </c>
    </row>
    <row r="12" spans="1:14" s="17" customFormat="1" x14ac:dyDescent="0.2">
      <c r="A12" s="23" t="s">
        <v>23</v>
      </c>
      <c r="B12" s="24">
        <v>6</v>
      </c>
      <c r="C12" s="24" t="s">
        <v>10</v>
      </c>
      <c r="D12" s="24" t="s">
        <v>11</v>
      </c>
      <c r="E12" s="24" t="s">
        <v>12</v>
      </c>
      <c r="F12" s="17">
        <v>3</v>
      </c>
      <c r="G12" s="17">
        <v>8.25</v>
      </c>
      <c r="H12" s="18">
        <v>285.66386920000002</v>
      </c>
      <c r="I12" s="18">
        <v>1459.1891627999998</v>
      </c>
      <c r="J12" s="31">
        <v>10353.574687800001</v>
      </c>
      <c r="K12" s="31">
        <v>17046.684543799998</v>
      </c>
      <c r="L12" s="17">
        <v>10019</v>
      </c>
      <c r="M12" s="18">
        <f t="shared" si="0"/>
        <v>-334.5746878000009</v>
      </c>
      <c r="N12" s="17">
        <v>240</v>
      </c>
    </row>
    <row r="13" spans="1:14" s="19" customFormat="1" ht="17" thickBot="1" x14ac:dyDescent="0.25">
      <c r="A13" s="25" t="s">
        <v>24</v>
      </c>
      <c r="B13" s="26">
        <v>6</v>
      </c>
      <c r="C13" s="26" t="s">
        <v>10</v>
      </c>
      <c r="D13" s="26" t="s">
        <v>11</v>
      </c>
      <c r="E13" s="26" t="s">
        <v>14</v>
      </c>
      <c r="F13" s="19">
        <v>3</v>
      </c>
      <c r="G13" s="19">
        <v>10.89</v>
      </c>
      <c r="H13" s="20">
        <v>276.25737480000004</v>
      </c>
      <c r="I13" s="20">
        <v>1544.8062399999999</v>
      </c>
      <c r="J13" s="32">
        <v>10992.064853100001</v>
      </c>
      <c r="K13" s="31">
        <v>18343.247420600001</v>
      </c>
      <c r="L13" s="19">
        <v>10019</v>
      </c>
      <c r="M13" s="20">
        <f t="shared" si="0"/>
        <v>-973.06485310000062</v>
      </c>
      <c r="N13" s="17">
        <v>240</v>
      </c>
    </row>
    <row r="14" spans="1:14" s="21" customFormat="1" x14ac:dyDescent="0.2">
      <c r="A14" s="27" t="s">
        <v>25</v>
      </c>
      <c r="B14" s="1">
        <v>1</v>
      </c>
      <c r="C14" s="1" t="s">
        <v>10</v>
      </c>
      <c r="D14" s="1" t="s">
        <v>26</v>
      </c>
      <c r="E14" s="1" t="s">
        <v>12</v>
      </c>
      <c r="F14" s="21">
        <v>3</v>
      </c>
      <c r="G14" s="21">
        <v>4.7300000000000004</v>
      </c>
      <c r="H14" s="22">
        <v>240.03920200000005</v>
      </c>
      <c r="I14" s="22">
        <v>512.61250059999998</v>
      </c>
      <c r="J14" s="33">
        <v>1778.4839298000002</v>
      </c>
      <c r="K14" s="31">
        <v>2735.2070285999998</v>
      </c>
      <c r="L14" s="21">
        <v>10019</v>
      </c>
      <c r="M14" s="22">
        <f t="shared" si="0"/>
        <v>8240.5160701999994</v>
      </c>
      <c r="N14" s="17">
        <v>240</v>
      </c>
    </row>
    <row r="15" spans="1:14" s="17" customFormat="1" x14ac:dyDescent="0.2">
      <c r="A15" s="28" t="s">
        <v>27</v>
      </c>
      <c r="B15" s="2">
        <v>1</v>
      </c>
      <c r="C15" s="2" t="s">
        <v>10</v>
      </c>
      <c r="D15" s="2" t="s">
        <v>26</v>
      </c>
      <c r="E15" s="2" t="s">
        <v>14</v>
      </c>
      <c r="F15" s="17">
        <v>3</v>
      </c>
      <c r="G15" s="17">
        <v>9.5399999999999991</v>
      </c>
      <c r="H15" s="18">
        <v>279.28324860000004</v>
      </c>
      <c r="I15" s="18">
        <v>546.02879999999993</v>
      </c>
      <c r="J15" s="31">
        <v>2273.3652531000002</v>
      </c>
      <c r="K15" s="31">
        <v>3735.1993245999997</v>
      </c>
      <c r="L15" s="17">
        <v>10019</v>
      </c>
      <c r="M15" s="18">
        <f t="shared" si="0"/>
        <v>7745.6347468999993</v>
      </c>
      <c r="N15" s="17">
        <v>240</v>
      </c>
    </row>
    <row r="16" spans="1:14" s="17" customFormat="1" x14ac:dyDescent="0.2">
      <c r="A16" s="28" t="s">
        <v>28</v>
      </c>
      <c r="B16" s="2">
        <v>2</v>
      </c>
      <c r="C16" s="2" t="s">
        <v>10</v>
      </c>
      <c r="D16" s="2" t="s">
        <v>26</v>
      </c>
      <c r="E16" s="2" t="s">
        <v>12</v>
      </c>
      <c r="F16" s="17">
        <v>3</v>
      </c>
      <c r="G16" s="17">
        <v>7.72</v>
      </c>
      <c r="H16" s="18">
        <v>275.13263260000008</v>
      </c>
      <c r="I16" s="18">
        <v>491.58985200000001</v>
      </c>
      <c r="J16" s="31">
        <v>1699.8151422000001</v>
      </c>
      <c r="K16" s="31">
        <v>2866.1663749999998</v>
      </c>
      <c r="L16" s="17">
        <v>10019</v>
      </c>
      <c r="M16" s="18">
        <f t="shared" si="0"/>
        <v>8319.184857799999</v>
      </c>
      <c r="N16" s="17">
        <v>240</v>
      </c>
    </row>
    <row r="17" spans="1:14" s="17" customFormat="1" x14ac:dyDescent="0.2">
      <c r="A17" s="28" t="s">
        <v>29</v>
      </c>
      <c r="B17" s="2">
        <v>2</v>
      </c>
      <c r="C17" s="2" t="s">
        <v>10</v>
      </c>
      <c r="D17" s="2" t="s">
        <v>26</v>
      </c>
      <c r="E17" s="2" t="s">
        <v>14</v>
      </c>
      <c r="F17" s="17">
        <v>3</v>
      </c>
      <c r="G17" s="17">
        <v>8.34</v>
      </c>
      <c r="H17" s="18">
        <v>296.71196060000005</v>
      </c>
      <c r="I17" s="18">
        <v>506.56961060000009</v>
      </c>
      <c r="J17" s="31">
        <v>1603.4811564000001</v>
      </c>
      <c r="K17" s="31">
        <v>2602.6399902000003</v>
      </c>
      <c r="L17" s="17">
        <v>10019</v>
      </c>
      <c r="M17" s="18">
        <f t="shared" si="0"/>
        <v>8415.5188435999989</v>
      </c>
      <c r="N17" s="17">
        <v>240</v>
      </c>
    </row>
    <row r="18" spans="1:14" s="37" customFormat="1" x14ac:dyDescent="0.2">
      <c r="A18" s="35" t="s">
        <v>30</v>
      </c>
      <c r="B18" s="36">
        <v>3</v>
      </c>
      <c r="C18" s="36" t="s">
        <v>10</v>
      </c>
      <c r="D18" s="36" t="s">
        <v>26</v>
      </c>
      <c r="E18" s="36" t="s">
        <v>12</v>
      </c>
      <c r="F18" s="37">
        <v>3</v>
      </c>
      <c r="G18" s="37">
        <v>8.2899999999999991</v>
      </c>
      <c r="H18" s="38">
        <v>300.79649060000003</v>
      </c>
      <c r="I18" s="38">
        <v>474.89213420000004</v>
      </c>
      <c r="J18" s="39">
        <v>1203.6682884000002</v>
      </c>
      <c r="K18" s="39">
        <v>1755.8766333999999</v>
      </c>
      <c r="L18" s="37">
        <v>10019</v>
      </c>
      <c r="M18" s="38">
        <f t="shared" si="0"/>
        <v>8815.3317115999998</v>
      </c>
      <c r="N18" s="37">
        <v>240</v>
      </c>
    </row>
    <row r="19" spans="1:14" s="37" customFormat="1" x14ac:dyDescent="0.2">
      <c r="A19" s="35" t="s">
        <v>31</v>
      </c>
      <c r="B19" s="36">
        <v>3</v>
      </c>
      <c r="C19" s="36" t="s">
        <v>10</v>
      </c>
      <c r="D19" s="36" t="s">
        <v>26</v>
      </c>
      <c r="E19" s="36" t="s">
        <v>14</v>
      </c>
      <c r="F19" s="37">
        <v>3</v>
      </c>
      <c r="G19" s="37">
        <v>7.54</v>
      </c>
      <c r="H19" s="38">
        <v>283.16346560000005</v>
      </c>
      <c r="I19" s="38">
        <v>467.0078322</v>
      </c>
      <c r="J19" s="39">
        <v>1063.9251497999999</v>
      </c>
      <c r="K19" s="39">
        <v>1369.0925062000001</v>
      </c>
      <c r="L19" s="37">
        <v>10019</v>
      </c>
      <c r="M19" s="38">
        <f t="shared" si="0"/>
        <v>8955.0748502000006</v>
      </c>
      <c r="N19" s="37">
        <v>240</v>
      </c>
    </row>
    <row r="20" spans="1:14" s="17" customFormat="1" x14ac:dyDescent="0.2">
      <c r="A20" s="28" t="s">
        <v>32</v>
      </c>
      <c r="B20" s="2">
        <v>4</v>
      </c>
      <c r="C20" s="2" t="s">
        <v>10</v>
      </c>
      <c r="D20" s="2" t="s">
        <v>26</v>
      </c>
      <c r="E20" s="2" t="s">
        <v>12</v>
      </c>
      <c r="F20" s="17">
        <v>3</v>
      </c>
      <c r="G20" s="17">
        <v>12.8</v>
      </c>
      <c r="H20" s="18">
        <v>296.69777460000006</v>
      </c>
      <c r="I20" s="18">
        <v>576.82006660000002</v>
      </c>
      <c r="J20" s="31">
        <v>2299.6233876000001</v>
      </c>
      <c r="K20" s="31">
        <v>4301.7533309999999</v>
      </c>
      <c r="L20" s="17">
        <v>10019</v>
      </c>
      <c r="M20" s="18">
        <f t="shared" si="0"/>
        <v>7719.3766123999994</v>
      </c>
      <c r="N20" s="17">
        <v>240</v>
      </c>
    </row>
    <row r="21" spans="1:14" s="17" customFormat="1" x14ac:dyDescent="0.2">
      <c r="A21" s="28" t="s">
        <v>33</v>
      </c>
      <c r="B21" s="2">
        <v>4</v>
      </c>
      <c r="C21" s="2" t="s">
        <v>10</v>
      </c>
      <c r="D21" s="2" t="s">
        <v>26</v>
      </c>
      <c r="E21" s="2" t="s">
        <v>14</v>
      </c>
      <c r="F21" s="17">
        <v>3</v>
      </c>
      <c r="G21" s="17">
        <v>10.54</v>
      </c>
      <c r="H21" s="18">
        <v>312.75654330000003</v>
      </c>
      <c r="I21" s="18">
        <v>585.65323899999999</v>
      </c>
      <c r="J21" s="31">
        <v>2358.9420015000001</v>
      </c>
      <c r="K21" s="31">
        <v>4195.4446277999996</v>
      </c>
      <c r="L21" s="17">
        <v>10019</v>
      </c>
      <c r="M21" s="18">
        <f t="shared" si="0"/>
        <v>7660.0579985000004</v>
      </c>
      <c r="N21" s="17">
        <v>240</v>
      </c>
    </row>
    <row r="22" spans="1:14" s="17" customFormat="1" x14ac:dyDescent="0.2">
      <c r="A22" s="28" t="s">
        <v>34</v>
      </c>
      <c r="B22" s="2">
        <v>5</v>
      </c>
      <c r="C22" s="2" t="s">
        <v>10</v>
      </c>
      <c r="D22" s="2" t="s">
        <v>26</v>
      </c>
      <c r="E22" s="2" t="s">
        <v>12</v>
      </c>
      <c r="F22" s="17">
        <v>3</v>
      </c>
      <c r="G22" s="17">
        <v>7.7</v>
      </c>
      <c r="H22" s="18">
        <v>220.44887850000003</v>
      </c>
      <c r="I22" s="18">
        <v>505.26747419999998</v>
      </c>
      <c r="J22" s="31">
        <v>1578.1587177000001</v>
      </c>
      <c r="K22" s="31">
        <v>2613.7286862000001</v>
      </c>
      <c r="L22" s="17">
        <v>10019</v>
      </c>
      <c r="M22" s="18">
        <f t="shared" si="0"/>
        <v>8440.8412822999999</v>
      </c>
      <c r="N22" s="17">
        <v>240</v>
      </c>
    </row>
    <row r="23" spans="1:14" s="17" customFormat="1" x14ac:dyDescent="0.2">
      <c r="A23" s="28" t="s">
        <v>35</v>
      </c>
      <c r="B23" s="2">
        <v>5</v>
      </c>
      <c r="C23" s="2" t="s">
        <v>10</v>
      </c>
      <c r="D23" s="2" t="s">
        <v>26</v>
      </c>
      <c r="E23" s="2" t="s">
        <v>14</v>
      </c>
      <c r="F23" s="17">
        <v>3</v>
      </c>
      <c r="G23" s="17">
        <v>5.89</v>
      </c>
      <c r="H23" s="18">
        <v>165.9778905</v>
      </c>
      <c r="I23" s="18">
        <v>473.82583140000003</v>
      </c>
      <c r="J23" s="31">
        <v>1497.5238737999998</v>
      </c>
      <c r="K23" s="31">
        <v>2535.5390622</v>
      </c>
      <c r="L23" s="17">
        <v>10019</v>
      </c>
      <c r="M23" s="18">
        <f t="shared" si="0"/>
        <v>8521.4761261999993</v>
      </c>
      <c r="N23" s="17">
        <v>240</v>
      </c>
    </row>
    <row r="24" spans="1:14" s="17" customFormat="1" x14ac:dyDescent="0.2">
      <c r="A24" s="28" t="s">
        <v>36</v>
      </c>
      <c r="B24" s="2">
        <v>6</v>
      </c>
      <c r="C24" s="2" t="s">
        <v>10</v>
      </c>
      <c r="D24" s="2" t="s">
        <v>26</v>
      </c>
      <c r="E24" s="2" t="s">
        <v>12</v>
      </c>
      <c r="F24" s="17">
        <v>3</v>
      </c>
      <c r="G24" s="17">
        <v>3.71</v>
      </c>
      <c r="H24" s="18">
        <v>160.68158130000006</v>
      </c>
      <c r="I24" s="18">
        <v>770.79873859999998</v>
      </c>
      <c r="J24" s="31">
        <v>4398.8075292000003</v>
      </c>
      <c r="K24" s="31">
        <v>7356.6074070000004</v>
      </c>
      <c r="L24" s="17">
        <v>10019</v>
      </c>
      <c r="M24" s="18">
        <f t="shared" si="0"/>
        <v>5620.1924707999997</v>
      </c>
      <c r="N24" s="17">
        <v>240</v>
      </c>
    </row>
    <row r="25" spans="1:14" s="19" customFormat="1" ht="17" thickBot="1" x14ac:dyDescent="0.25">
      <c r="A25" s="29" t="s">
        <v>37</v>
      </c>
      <c r="B25" s="3">
        <v>6</v>
      </c>
      <c r="C25" s="3" t="s">
        <v>10</v>
      </c>
      <c r="D25" s="3" t="s">
        <v>26</v>
      </c>
      <c r="E25" s="3" t="s">
        <v>14</v>
      </c>
      <c r="F25" s="19">
        <v>3</v>
      </c>
      <c r="G25" s="19">
        <v>10.84</v>
      </c>
      <c r="H25" s="20">
        <v>177.980862</v>
      </c>
      <c r="I25" s="20">
        <v>776.31750779999993</v>
      </c>
      <c r="J25" s="32">
        <v>4701.7573491000003</v>
      </c>
      <c r="K25" s="31">
        <v>8440.8601150000013</v>
      </c>
      <c r="L25" s="19">
        <v>10019</v>
      </c>
      <c r="M25" s="20">
        <f t="shared" si="0"/>
        <v>5317.2426508999997</v>
      </c>
      <c r="N25" s="17">
        <v>240</v>
      </c>
    </row>
    <row r="26" spans="1:14" s="21" customFormat="1" x14ac:dyDescent="0.2">
      <c r="A26" s="4" t="s">
        <v>38</v>
      </c>
      <c r="B26" s="5">
        <v>1</v>
      </c>
      <c r="C26" s="5" t="s">
        <v>39</v>
      </c>
      <c r="D26" s="5" t="s">
        <v>11</v>
      </c>
      <c r="E26" s="5" t="s">
        <v>12</v>
      </c>
      <c r="F26" s="21">
        <v>3</v>
      </c>
      <c r="G26" s="21">
        <v>7.91</v>
      </c>
      <c r="H26" s="22">
        <v>323.01427260000008</v>
      </c>
      <c r="I26" s="22">
        <v>1402.3622612000001</v>
      </c>
      <c r="J26" s="33">
        <v>7234.6891440000009</v>
      </c>
      <c r="K26" s="31">
        <v>11261.099267800002</v>
      </c>
      <c r="L26" s="21">
        <v>10019</v>
      </c>
      <c r="M26" s="22">
        <f t="shared" si="0"/>
        <v>2784.3108559999991</v>
      </c>
      <c r="N26" s="17">
        <v>240</v>
      </c>
    </row>
    <row r="27" spans="1:14" s="17" customFormat="1" x14ac:dyDescent="0.2">
      <c r="A27" s="6" t="s">
        <v>40</v>
      </c>
      <c r="B27" s="7">
        <v>1</v>
      </c>
      <c r="C27" s="7" t="s">
        <v>39</v>
      </c>
      <c r="D27" s="7" t="s">
        <v>11</v>
      </c>
      <c r="E27" s="7" t="s">
        <v>14</v>
      </c>
      <c r="F27" s="17">
        <v>3</v>
      </c>
      <c r="G27" s="17">
        <v>9.76</v>
      </c>
      <c r="H27" s="18">
        <v>338.74956750000001</v>
      </c>
      <c r="I27" s="18">
        <v>1494.0990404000001</v>
      </c>
      <c r="J27" s="31">
        <v>7878.4962222000004</v>
      </c>
      <c r="K27" s="31">
        <v>12298.752523800002</v>
      </c>
      <c r="L27" s="17">
        <v>10019</v>
      </c>
      <c r="M27" s="18">
        <f t="shared" si="0"/>
        <v>2140.5037777999996</v>
      </c>
      <c r="N27" s="17">
        <v>240</v>
      </c>
    </row>
    <row r="28" spans="1:14" s="17" customFormat="1" x14ac:dyDescent="0.2">
      <c r="A28" s="6" t="s">
        <v>41</v>
      </c>
      <c r="B28" s="7">
        <v>2</v>
      </c>
      <c r="C28" s="7" t="s">
        <v>39</v>
      </c>
      <c r="D28" s="7" t="s">
        <v>11</v>
      </c>
      <c r="E28" s="7" t="s">
        <v>12</v>
      </c>
      <c r="F28" s="17">
        <v>3</v>
      </c>
      <c r="G28" s="17">
        <v>9.4700000000000006</v>
      </c>
      <c r="H28" s="18">
        <v>338.85272639999999</v>
      </c>
      <c r="I28" s="18">
        <v>1075.9473836</v>
      </c>
      <c r="J28" s="31">
        <v>5647.7235495000004</v>
      </c>
      <c r="K28" s="31">
        <v>9165.9783086000007</v>
      </c>
      <c r="L28" s="17">
        <v>10019</v>
      </c>
      <c r="M28" s="18">
        <f t="shared" si="0"/>
        <v>4371.2764504999996</v>
      </c>
      <c r="N28" s="17">
        <v>240</v>
      </c>
    </row>
    <row r="29" spans="1:14" s="17" customFormat="1" x14ac:dyDescent="0.2">
      <c r="A29" s="6" t="s">
        <v>42</v>
      </c>
      <c r="B29" s="7">
        <v>2</v>
      </c>
      <c r="C29" s="7" t="s">
        <v>39</v>
      </c>
      <c r="D29" s="7" t="s">
        <v>11</v>
      </c>
      <c r="E29" s="7" t="s">
        <v>14</v>
      </c>
      <c r="F29" s="17">
        <v>3</v>
      </c>
      <c r="G29" s="17">
        <v>10.26</v>
      </c>
      <c r="H29" s="18">
        <v>371.13802230000005</v>
      </c>
      <c r="I29" s="18">
        <v>1160.1622612000001</v>
      </c>
      <c r="J29" s="31">
        <v>6134.1242214000004</v>
      </c>
      <c r="K29" s="31">
        <v>10315.932499800001</v>
      </c>
      <c r="L29" s="17">
        <v>10019</v>
      </c>
      <c r="M29" s="18">
        <f t="shared" si="0"/>
        <v>3884.8757785999996</v>
      </c>
      <c r="N29" s="17">
        <v>240</v>
      </c>
    </row>
    <row r="30" spans="1:14" s="17" customFormat="1" x14ac:dyDescent="0.2">
      <c r="A30" s="6" t="s">
        <v>43</v>
      </c>
      <c r="B30" s="7">
        <v>3</v>
      </c>
      <c r="C30" s="7" t="s">
        <v>39</v>
      </c>
      <c r="D30" s="7" t="s">
        <v>11</v>
      </c>
      <c r="E30" s="7" t="s">
        <v>12</v>
      </c>
      <c r="F30" s="17">
        <v>3</v>
      </c>
      <c r="G30" s="17">
        <v>10.49</v>
      </c>
      <c r="H30" s="18">
        <v>317.65699470000004</v>
      </c>
      <c r="I30" s="18">
        <v>740.63321299999996</v>
      </c>
      <c r="J30" s="31">
        <v>3308.9570571000004</v>
      </c>
      <c r="K30" s="31">
        <v>5626.702115</v>
      </c>
      <c r="L30" s="17">
        <v>10019</v>
      </c>
      <c r="M30" s="18">
        <f t="shared" si="0"/>
        <v>6710.0429428999996</v>
      </c>
      <c r="N30" s="17">
        <v>240</v>
      </c>
    </row>
    <row r="31" spans="1:14" s="17" customFormat="1" x14ac:dyDescent="0.2">
      <c r="A31" s="6" t="s">
        <v>44</v>
      </c>
      <c r="B31" s="7">
        <v>3</v>
      </c>
      <c r="C31" s="7" t="s">
        <v>39</v>
      </c>
      <c r="D31" s="7" t="s">
        <v>11</v>
      </c>
      <c r="E31" s="7" t="s">
        <v>14</v>
      </c>
      <c r="F31" s="17">
        <v>3</v>
      </c>
      <c r="G31" s="17">
        <v>10.85</v>
      </c>
      <c r="H31" s="18">
        <v>322.60448010000005</v>
      </c>
      <c r="I31" s="18">
        <v>735.31588499999998</v>
      </c>
      <c r="J31" s="31">
        <v>3168.4751337000002</v>
      </c>
      <c r="K31" s="31">
        <v>5114.2971037999996</v>
      </c>
      <c r="L31" s="17">
        <v>10019</v>
      </c>
      <c r="M31" s="18">
        <f t="shared" si="0"/>
        <v>6850.5248663000002</v>
      </c>
      <c r="N31" s="17">
        <v>240</v>
      </c>
    </row>
    <row r="32" spans="1:14" s="17" customFormat="1" x14ac:dyDescent="0.2">
      <c r="A32" s="6" t="s">
        <v>45</v>
      </c>
      <c r="B32" s="7">
        <v>4</v>
      </c>
      <c r="C32" s="7" t="s">
        <v>39</v>
      </c>
      <c r="D32" s="7" t="s">
        <v>11</v>
      </c>
      <c r="E32" s="7" t="s">
        <v>12</v>
      </c>
      <c r="F32" s="17">
        <v>3</v>
      </c>
      <c r="G32" s="17">
        <v>11.9</v>
      </c>
      <c r="H32" s="18">
        <v>459.37682489999997</v>
      </c>
      <c r="I32" s="18">
        <v>1070.1048968</v>
      </c>
      <c r="J32" s="31">
        <v>5963.9739177000001</v>
      </c>
      <c r="K32" s="31">
        <v>9868.5811062000012</v>
      </c>
      <c r="L32" s="17">
        <v>10019</v>
      </c>
      <c r="M32" s="18">
        <f t="shared" si="0"/>
        <v>4055.0260822999999</v>
      </c>
      <c r="N32" s="17">
        <v>240</v>
      </c>
    </row>
    <row r="33" spans="1:14" s="17" customFormat="1" x14ac:dyDescent="0.2">
      <c r="A33" s="6" t="s">
        <v>46</v>
      </c>
      <c r="B33" s="7">
        <v>4</v>
      </c>
      <c r="C33" s="7" t="s">
        <v>39</v>
      </c>
      <c r="D33" s="7" t="s">
        <v>11</v>
      </c>
      <c r="E33" s="7" t="s">
        <v>14</v>
      </c>
      <c r="F33" s="17">
        <v>3</v>
      </c>
      <c r="G33" s="17">
        <v>8.0500000000000007</v>
      </c>
      <c r="H33" s="18">
        <v>363.12511350000005</v>
      </c>
      <c r="I33" s="18">
        <v>1065.2188924</v>
      </c>
      <c r="J33" s="31">
        <v>5510.0276535000003</v>
      </c>
      <c r="K33" s="31">
        <v>8900.9722502000004</v>
      </c>
      <c r="L33" s="17">
        <v>10019</v>
      </c>
      <c r="M33" s="18">
        <f t="shared" si="0"/>
        <v>4508.9723464999997</v>
      </c>
      <c r="N33" s="17">
        <v>240</v>
      </c>
    </row>
    <row r="34" spans="1:14" s="17" customFormat="1" x14ac:dyDescent="0.2">
      <c r="A34" s="6" t="s">
        <v>47</v>
      </c>
      <c r="B34" s="7">
        <v>5</v>
      </c>
      <c r="C34" s="7" t="s">
        <v>39</v>
      </c>
      <c r="D34" s="7" t="s">
        <v>11</v>
      </c>
      <c r="E34" s="7" t="s">
        <v>12</v>
      </c>
      <c r="F34" s="17">
        <v>3</v>
      </c>
      <c r="G34" s="17">
        <v>9.5500000000000007</v>
      </c>
      <c r="H34" s="18">
        <v>370.23602250000005</v>
      </c>
      <c r="I34" s="18">
        <v>1361.8141752000001</v>
      </c>
      <c r="J34" s="31">
        <v>7658.5356840000004</v>
      </c>
      <c r="K34" s="31">
        <v>13206.895996600002</v>
      </c>
      <c r="L34" s="17">
        <v>10019</v>
      </c>
      <c r="M34" s="18">
        <f t="shared" si="0"/>
        <v>2360.4643159999996</v>
      </c>
      <c r="N34" s="17">
        <v>240</v>
      </c>
    </row>
    <row r="35" spans="1:14" s="17" customFormat="1" x14ac:dyDescent="0.2">
      <c r="A35" s="6" t="s">
        <v>48</v>
      </c>
      <c r="B35" s="7">
        <v>5</v>
      </c>
      <c r="C35" s="7" t="s">
        <v>39</v>
      </c>
      <c r="D35" s="7" t="s">
        <v>11</v>
      </c>
      <c r="E35" s="7" t="s">
        <v>14</v>
      </c>
      <c r="F35" s="17">
        <v>3</v>
      </c>
      <c r="G35" s="17">
        <v>8.9</v>
      </c>
      <c r="H35" s="18">
        <v>375.24472230000003</v>
      </c>
      <c r="I35" s="18">
        <v>1651.7011407999998</v>
      </c>
      <c r="J35" s="31">
        <v>9483.6314019000001</v>
      </c>
      <c r="K35" s="31">
        <v>15636.126611800002</v>
      </c>
      <c r="L35" s="17">
        <v>10019</v>
      </c>
      <c r="M35" s="18">
        <f t="shared" si="0"/>
        <v>535.36859809999987</v>
      </c>
      <c r="N35" s="17">
        <v>240</v>
      </c>
    </row>
    <row r="36" spans="1:14" s="17" customFormat="1" x14ac:dyDescent="0.2">
      <c r="A36" s="6" t="s">
        <v>49</v>
      </c>
      <c r="B36" s="7">
        <v>6</v>
      </c>
      <c r="C36" s="7" t="s">
        <v>39</v>
      </c>
      <c r="D36" s="7" t="s">
        <v>11</v>
      </c>
      <c r="E36" s="7" t="s">
        <v>12</v>
      </c>
      <c r="F36" s="17">
        <v>3</v>
      </c>
      <c r="G36" s="17">
        <v>6.85</v>
      </c>
      <c r="H36" s="18">
        <v>337.07241930000004</v>
      </c>
      <c r="I36" s="18">
        <v>1010.2914962</v>
      </c>
      <c r="J36" s="31">
        <v>5353.5727380000008</v>
      </c>
      <c r="K36" s="31">
        <v>8870.3015934000014</v>
      </c>
      <c r="L36" s="17">
        <v>10019</v>
      </c>
      <c r="M36" s="18">
        <f t="shared" si="0"/>
        <v>4665.4272619999992</v>
      </c>
      <c r="N36" s="17">
        <v>240</v>
      </c>
    </row>
    <row r="37" spans="1:14" s="19" customFormat="1" ht="17" thickBot="1" x14ac:dyDescent="0.25">
      <c r="A37" s="8" t="s">
        <v>50</v>
      </c>
      <c r="B37" s="9">
        <v>6</v>
      </c>
      <c r="C37" s="9" t="s">
        <v>39</v>
      </c>
      <c r="D37" s="9" t="s">
        <v>11</v>
      </c>
      <c r="E37" s="9" t="s">
        <v>14</v>
      </c>
      <c r="F37" s="19">
        <v>3</v>
      </c>
      <c r="G37" s="19">
        <v>8.58</v>
      </c>
      <c r="H37" s="20">
        <v>324.78440069999999</v>
      </c>
      <c r="I37" s="20">
        <v>1208.723984</v>
      </c>
      <c r="J37" s="32">
        <v>6649.0075605000002</v>
      </c>
      <c r="K37" s="31">
        <v>11610.274849400001</v>
      </c>
      <c r="L37" s="19">
        <v>10019</v>
      </c>
      <c r="M37" s="20">
        <f t="shared" si="0"/>
        <v>3369.9924394999998</v>
      </c>
      <c r="N37" s="17">
        <v>240</v>
      </c>
    </row>
    <row r="38" spans="1:14" s="21" customFormat="1" x14ac:dyDescent="0.2">
      <c r="A38" s="10" t="s">
        <v>51</v>
      </c>
      <c r="B38" s="11">
        <v>1</v>
      </c>
      <c r="C38" s="11" t="s">
        <v>39</v>
      </c>
      <c r="D38" s="11" t="s">
        <v>26</v>
      </c>
      <c r="E38" s="11" t="s">
        <v>12</v>
      </c>
      <c r="F38" s="21">
        <v>3</v>
      </c>
      <c r="G38" s="21">
        <v>3.8</v>
      </c>
      <c r="H38" s="22">
        <v>256.36639260000004</v>
      </c>
      <c r="I38" s="22">
        <v>783.13768679999987</v>
      </c>
      <c r="J38" s="33">
        <v>3357.7746987</v>
      </c>
      <c r="K38" s="31">
        <v>5999.2573069999999</v>
      </c>
      <c r="L38" s="21">
        <v>10019</v>
      </c>
      <c r="M38" s="22">
        <f t="shared" si="0"/>
        <v>6661.2253013</v>
      </c>
      <c r="N38" s="17">
        <v>240</v>
      </c>
    </row>
    <row r="39" spans="1:14" s="17" customFormat="1" x14ac:dyDescent="0.2">
      <c r="A39" s="12" t="s">
        <v>52</v>
      </c>
      <c r="B39" s="13">
        <v>1</v>
      </c>
      <c r="C39" s="13" t="s">
        <v>39</v>
      </c>
      <c r="D39" s="13" t="s">
        <v>26</v>
      </c>
      <c r="E39" s="13" t="s">
        <v>14</v>
      </c>
      <c r="F39" s="17">
        <v>3</v>
      </c>
      <c r="G39" s="17">
        <v>5.23</v>
      </c>
      <c r="H39" s="18">
        <v>330.51433530000003</v>
      </c>
      <c r="I39" s="18">
        <v>827.33122879999996</v>
      </c>
      <c r="J39" s="31">
        <v>3763.6028994000003</v>
      </c>
      <c r="K39" s="31">
        <v>6732.1732413999998</v>
      </c>
      <c r="L39" s="17">
        <v>10019</v>
      </c>
      <c r="M39" s="18">
        <f t="shared" si="0"/>
        <v>6255.3971005999992</v>
      </c>
      <c r="N39" s="17">
        <v>240</v>
      </c>
    </row>
    <row r="40" spans="1:14" s="17" customFormat="1" x14ac:dyDescent="0.2">
      <c r="A40" s="12" t="s">
        <v>53</v>
      </c>
      <c r="B40" s="13">
        <v>2</v>
      </c>
      <c r="C40" s="13" t="s">
        <v>39</v>
      </c>
      <c r="D40" s="13" t="s">
        <v>26</v>
      </c>
      <c r="E40" s="13" t="s">
        <v>12</v>
      </c>
      <c r="F40" s="17">
        <v>3</v>
      </c>
      <c r="G40" s="17">
        <v>4.8499999999999996</v>
      </c>
      <c r="H40" s="18">
        <v>295.76694989999999</v>
      </c>
      <c r="I40" s="18">
        <v>646.06006420000006</v>
      </c>
      <c r="J40" s="31">
        <v>2367.0907122000003</v>
      </c>
      <c r="K40" s="31">
        <v>3978.6457462000003</v>
      </c>
      <c r="L40" s="17">
        <v>10019</v>
      </c>
      <c r="M40" s="18">
        <f t="shared" si="0"/>
        <v>7651.9092877999992</v>
      </c>
      <c r="N40" s="17">
        <v>240</v>
      </c>
    </row>
    <row r="41" spans="1:14" s="17" customFormat="1" x14ac:dyDescent="0.2">
      <c r="A41" s="12" t="s">
        <v>54</v>
      </c>
      <c r="B41" s="13">
        <v>2</v>
      </c>
      <c r="C41" s="13" t="s">
        <v>39</v>
      </c>
      <c r="D41" s="13" t="s">
        <v>26</v>
      </c>
      <c r="E41" s="13" t="s">
        <v>14</v>
      </c>
      <c r="F41" s="17">
        <v>3</v>
      </c>
      <c r="G41" s="17">
        <v>7.39</v>
      </c>
      <c r="H41" s="18">
        <v>313.01182560000007</v>
      </c>
      <c r="I41" s="18">
        <v>644.48105859999998</v>
      </c>
      <c r="J41" s="31">
        <v>2234.6934420000002</v>
      </c>
      <c r="K41" s="31">
        <v>3491.8798390000002</v>
      </c>
      <c r="L41" s="17">
        <v>10019</v>
      </c>
      <c r="M41" s="18">
        <f t="shared" si="0"/>
        <v>7784.3065580000002</v>
      </c>
      <c r="N41" s="17">
        <v>240</v>
      </c>
    </row>
    <row r="42" spans="1:14" s="17" customFormat="1" x14ac:dyDescent="0.2">
      <c r="A42" s="12" t="s">
        <v>55</v>
      </c>
      <c r="B42" s="13">
        <v>3</v>
      </c>
      <c r="C42" s="13" t="s">
        <v>39</v>
      </c>
      <c r="D42" s="13" t="s">
        <v>26</v>
      </c>
      <c r="E42" s="13" t="s">
        <v>12</v>
      </c>
      <c r="F42" s="17">
        <v>3</v>
      </c>
      <c r="G42" s="17">
        <v>4.17</v>
      </c>
      <c r="H42" s="18">
        <v>258.9438207</v>
      </c>
      <c r="I42" s="18">
        <v>566.23129019999999</v>
      </c>
      <c r="J42" s="31">
        <v>1996.9829742000002</v>
      </c>
      <c r="K42" s="31">
        <v>3157.0838429999999</v>
      </c>
      <c r="L42" s="17">
        <v>10019</v>
      </c>
      <c r="M42" s="18">
        <f t="shared" si="0"/>
        <v>8022.0170257999998</v>
      </c>
      <c r="N42" s="17">
        <v>240</v>
      </c>
    </row>
    <row r="43" spans="1:14" s="17" customFormat="1" x14ac:dyDescent="0.2">
      <c r="A43" s="12" t="s">
        <v>56</v>
      </c>
      <c r="B43" s="13">
        <v>3</v>
      </c>
      <c r="C43" s="13" t="s">
        <v>39</v>
      </c>
      <c r="D43" s="13" t="s">
        <v>26</v>
      </c>
      <c r="E43" s="13" t="s">
        <v>14</v>
      </c>
      <c r="F43" s="17">
        <v>3</v>
      </c>
      <c r="G43" s="17">
        <v>0.28000000000000003</v>
      </c>
      <c r="H43" s="18">
        <v>217.78359510000001</v>
      </c>
      <c r="I43" s="18">
        <v>630.94238999999993</v>
      </c>
      <c r="J43" s="31">
        <v>2173.3150899000002</v>
      </c>
      <c r="K43" s="31">
        <v>3149.5440414000004</v>
      </c>
      <c r="L43" s="17">
        <v>10019</v>
      </c>
      <c r="M43" s="18">
        <f t="shared" si="0"/>
        <v>7845.6849100999998</v>
      </c>
      <c r="N43" s="17">
        <v>240</v>
      </c>
    </row>
    <row r="44" spans="1:14" s="17" customFormat="1" x14ac:dyDescent="0.2">
      <c r="A44" s="12" t="s">
        <v>57</v>
      </c>
      <c r="B44" s="13">
        <v>4</v>
      </c>
      <c r="C44" s="13" t="s">
        <v>39</v>
      </c>
      <c r="D44" s="13" t="s">
        <v>26</v>
      </c>
      <c r="E44" s="13" t="s">
        <v>12</v>
      </c>
      <c r="F44" s="17">
        <v>3</v>
      </c>
      <c r="G44" s="17">
        <v>6.14</v>
      </c>
      <c r="H44" s="18">
        <v>335.44592039999998</v>
      </c>
      <c r="I44" s="18">
        <v>596.53805299999999</v>
      </c>
      <c r="J44" s="31">
        <v>2088.4874808000004</v>
      </c>
      <c r="K44" s="31">
        <v>3385.1595285999997</v>
      </c>
      <c r="L44" s="17">
        <v>10019</v>
      </c>
      <c r="M44" s="18">
        <f t="shared" si="0"/>
        <v>7930.5125191999996</v>
      </c>
      <c r="N44" s="17">
        <v>240</v>
      </c>
    </row>
    <row r="45" spans="1:14" s="17" customFormat="1" x14ac:dyDescent="0.2">
      <c r="A45" s="12" t="s">
        <v>58</v>
      </c>
      <c r="B45" s="13">
        <v>4</v>
      </c>
      <c r="C45" s="13" t="s">
        <v>39</v>
      </c>
      <c r="D45" s="13" t="s">
        <v>26</v>
      </c>
      <c r="E45" s="13" t="s">
        <v>14</v>
      </c>
      <c r="F45" s="17">
        <v>3</v>
      </c>
      <c r="G45" s="17">
        <v>5.8</v>
      </c>
      <c r="H45" s="18">
        <v>345.80052570000004</v>
      </c>
      <c r="I45" s="18">
        <v>627.89118899999994</v>
      </c>
      <c r="J45" s="31">
        <v>2210.7515916000002</v>
      </c>
      <c r="K45" s="31">
        <v>3551.4493294000004</v>
      </c>
      <c r="L45" s="17">
        <v>10019</v>
      </c>
      <c r="M45" s="18">
        <f t="shared" si="0"/>
        <v>7808.2484083999998</v>
      </c>
      <c r="N45" s="17">
        <v>240</v>
      </c>
    </row>
    <row r="46" spans="1:14" s="17" customFormat="1" x14ac:dyDescent="0.2">
      <c r="A46" s="12" t="s">
        <v>59</v>
      </c>
      <c r="B46" s="13">
        <v>5</v>
      </c>
      <c r="C46" s="13" t="s">
        <v>39</v>
      </c>
      <c r="D46" s="13" t="s">
        <v>26</v>
      </c>
      <c r="E46" s="13" t="s">
        <v>12</v>
      </c>
      <c r="F46" s="17">
        <v>3</v>
      </c>
      <c r="G46" s="17">
        <v>4.54</v>
      </c>
      <c r="H46" s="18">
        <v>323.08134870000004</v>
      </c>
      <c r="I46" s="18">
        <v>761.12191439999992</v>
      </c>
      <c r="J46" s="31">
        <v>3356.2703478000008</v>
      </c>
      <c r="K46" s="31">
        <v>5791.1726638000009</v>
      </c>
      <c r="L46" s="17">
        <v>10019</v>
      </c>
      <c r="M46" s="18">
        <f t="shared" si="0"/>
        <v>6662.7296521999997</v>
      </c>
      <c r="N46" s="17">
        <v>240</v>
      </c>
    </row>
    <row r="47" spans="1:14" s="17" customFormat="1" x14ac:dyDescent="0.2">
      <c r="A47" s="12" t="s">
        <v>60</v>
      </c>
      <c r="B47" s="13">
        <v>5</v>
      </c>
      <c r="C47" s="13" t="s">
        <v>39</v>
      </c>
      <c r="D47" s="13" t="s">
        <v>26</v>
      </c>
      <c r="E47" s="13" t="s">
        <v>14</v>
      </c>
      <c r="F47" s="17">
        <v>3</v>
      </c>
      <c r="G47" s="17">
        <v>4.53</v>
      </c>
      <c r="H47" s="18">
        <v>310.54324260000004</v>
      </c>
      <c r="I47" s="18">
        <v>735.61001959999999</v>
      </c>
      <c r="J47" s="31">
        <v>3161.9319321000003</v>
      </c>
      <c r="K47" s="31">
        <v>5354.7289757999997</v>
      </c>
      <c r="L47" s="17">
        <v>10019</v>
      </c>
      <c r="M47" s="18">
        <f t="shared" si="0"/>
        <v>6857.0680678999997</v>
      </c>
      <c r="N47" s="17">
        <v>240</v>
      </c>
    </row>
    <row r="48" spans="1:14" s="17" customFormat="1" x14ac:dyDescent="0.2">
      <c r="A48" s="12" t="s">
        <v>61</v>
      </c>
      <c r="B48" s="13">
        <v>6</v>
      </c>
      <c r="C48" s="13" t="s">
        <v>39</v>
      </c>
      <c r="D48" s="13" t="s">
        <v>26</v>
      </c>
      <c r="E48" s="13" t="s">
        <v>12</v>
      </c>
      <c r="F48" s="17">
        <v>3</v>
      </c>
      <c r="G48" s="17">
        <v>2.97</v>
      </c>
      <c r="H48" s="18">
        <v>350.84937990000003</v>
      </c>
      <c r="I48" s="18">
        <v>693.05281539999999</v>
      </c>
      <c r="J48" s="31">
        <v>2597.9692458000004</v>
      </c>
      <c r="K48" s="31">
        <v>4163.3265726</v>
      </c>
      <c r="L48" s="17">
        <v>10019</v>
      </c>
      <c r="M48" s="18">
        <f t="shared" si="0"/>
        <v>7421.0307541999991</v>
      </c>
      <c r="N48" s="17">
        <v>240</v>
      </c>
    </row>
    <row r="49" spans="1:14" s="17" customFormat="1" x14ac:dyDescent="0.2">
      <c r="A49" s="12" t="s">
        <v>62</v>
      </c>
      <c r="B49" s="13">
        <v>6</v>
      </c>
      <c r="C49" s="13" t="s">
        <v>39</v>
      </c>
      <c r="D49" s="13" t="s">
        <v>26</v>
      </c>
      <c r="E49" s="13" t="s">
        <v>14</v>
      </c>
      <c r="F49" s="17">
        <v>3</v>
      </c>
      <c r="G49" s="17">
        <v>3.37</v>
      </c>
      <c r="H49" s="18">
        <v>330.41008830000004</v>
      </c>
      <c r="I49" s="18">
        <v>674.60883560000002</v>
      </c>
      <c r="J49" s="31">
        <v>2438.8744593000001</v>
      </c>
      <c r="K49" s="31">
        <v>4000.3312694000001</v>
      </c>
      <c r="L49" s="17">
        <v>10019</v>
      </c>
      <c r="M49" s="18">
        <f t="shared" si="0"/>
        <v>7580.1255406999999</v>
      </c>
      <c r="N49" s="17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3E01-9EE4-5D4A-A75D-A4007EBE8ECE}">
  <dimension ref="A1:S49"/>
  <sheetViews>
    <sheetView tabSelected="1" topLeftCell="H1" workbookViewId="0">
      <selection activeCell="S2" sqref="S2:S25"/>
    </sheetView>
  </sheetViews>
  <sheetFormatPr baseColWidth="10" defaultRowHeight="16" x14ac:dyDescent="0.2"/>
  <cols>
    <col min="5" max="5" width="13.6640625" bestFit="1" customWidth="1"/>
    <col min="9" max="9" width="12.1640625" bestFit="1" customWidth="1"/>
    <col min="12" max="12" width="14.6640625" bestFit="1" customWidth="1"/>
    <col min="13" max="13" width="15.83203125" bestFit="1" customWidth="1"/>
    <col min="15" max="15" width="14.6640625" bestFit="1" customWidth="1"/>
    <col min="16" max="16" width="31.83203125" bestFit="1" customWidth="1"/>
  </cols>
  <sheetData>
    <row r="1" spans="1:19" ht="5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88</v>
      </c>
      <c r="F1" s="15" t="s">
        <v>4</v>
      </c>
      <c r="G1" s="30" t="s">
        <v>66</v>
      </c>
      <c r="H1" s="30" t="s">
        <v>87</v>
      </c>
      <c r="I1" s="15" t="s">
        <v>86</v>
      </c>
      <c r="L1" s="41" t="s">
        <v>89</v>
      </c>
      <c r="M1" t="s">
        <v>115</v>
      </c>
      <c r="O1" s="41" t="s">
        <v>89</v>
      </c>
      <c r="P1" t="s">
        <v>117</v>
      </c>
    </row>
    <row r="2" spans="1:19" x14ac:dyDescent="0.2">
      <c r="A2" s="23" t="s">
        <v>9</v>
      </c>
      <c r="B2" s="24">
        <v>1</v>
      </c>
      <c r="C2" s="24" t="s">
        <v>10</v>
      </c>
      <c r="D2" s="24" t="s">
        <v>11</v>
      </c>
      <c r="E2" s="24" t="str">
        <f>B2&amp;"_"&amp;C2&amp;"_"&amp;D2</f>
        <v>1_Control_0-10</v>
      </c>
      <c r="F2" s="24" t="s">
        <v>12</v>
      </c>
      <c r="G2" s="31">
        <v>7750.8147645999998</v>
      </c>
      <c r="H2" s="17">
        <v>240</v>
      </c>
      <c r="I2">
        <f>G2*tools!$E$2*tools!$E$3*H2*tools!$E$6*10^-5</f>
        <v>0.76185483010402744</v>
      </c>
      <c r="L2" s="42" t="s">
        <v>90</v>
      </c>
      <c r="M2">
        <v>1.5012053080464165</v>
      </c>
      <c r="O2" s="42" t="s">
        <v>90</v>
      </c>
      <c r="P2" s="43">
        <v>15272.679002000001</v>
      </c>
      <c r="R2" s="42" t="s">
        <v>90</v>
      </c>
      <c r="S2" s="43">
        <v>15272.679002000001</v>
      </c>
    </row>
    <row r="3" spans="1:19" x14ac:dyDescent="0.2">
      <c r="A3" s="23" t="s">
        <v>13</v>
      </c>
      <c r="B3" s="24">
        <v>1</v>
      </c>
      <c r="C3" s="24" t="s">
        <v>10</v>
      </c>
      <c r="D3" s="24" t="s">
        <v>11</v>
      </c>
      <c r="E3" s="24" t="str">
        <f t="shared" ref="E3:E49" si="0">B3&amp;"_"&amp;C3&amp;"_"&amp;D3</f>
        <v>1_Control_0-10</v>
      </c>
      <c r="F3" s="24" t="s">
        <v>14</v>
      </c>
      <c r="G3" s="31">
        <v>7521.8642374000001</v>
      </c>
      <c r="H3" s="17">
        <v>240</v>
      </c>
      <c r="I3">
        <f>G3*tools!$E$2*tools!$E$3*H3*tools!$E$6*10^-5</f>
        <v>0.73935047794238917</v>
      </c>
      <c r="L3" s="42" t="s">
        <v>91</v>
      </c>
      <c r="M3">
        <v>0.6359989862531058</v>
      </c>
      <c r="O3" s="42" t="s">
        <v>91</v>
      </c>
      <c r="P3" s="43">
        <v>6470.4063532</v>
      </c>
      <c r="R3" s="42" t="s">
        <v>91</v>
      </c>
      <c r="S3" s="43">
        <v>6470.4063532</v>
      </c>
    </row>
    <row r="4" spans="1:19" x14ac:dyDescent="0.2">
      <c r="A4" s="23" t="s">
        <v>15</v>
      </c>
      <c r="B4" s="24">
        <v>2</v>
      </c>
      <c r="C4" s="24" t="s">
        <v>10</v>
      </c>
      <c r="D4" s="24" t="s">
        <v>11</v>
      </c>
      <c r="E4" s="24" t="str">
        <f t="shared" si="0"/>
        <v>2_Control_0-10</v>
      </c>
      <c r="F4" s="24" t="s">
        <v>12</v>
      </c>
      <c r="G4" s="31">
        <v>5620.3584638000002</v>
      </c>
      <c r="H4" s="17">
        <v>240</v>
      </c>
      <c r="I4">
        <f>G4*tools!$E$2*tools!$E$3*H4*tools!$E$6*10^-5</f>
        <v>0.55244479098102395</v>
      </c>
      <c r="L4" s="42" t="s">
        <v>92</v>
      </c>
      <c r="M4">
        <v>2.3157806539183623</v>
      </c>
      <c r="O4" s="42" t="s">
        <v>92</v>
      </c>
      <c r="P4" s="43">
        <v>23559.851791600006</v>
      </c>
      <c r="R4" s="42" t="s">
        <v>92</v>
      </c>
      <c r="S4" s="43">
        <v>23559.851791600006</v>
      </c>
    </row>
    <row r="5" spans="1:19" x14ac:dyDescent="0.2">
      <c r="A5" s="23" t="s">
        <v>16</v>
      </c>
      <c r="B5" s="24">
        <v>2</v>
      </c>
      <c r="C5" s="24" t="s">
        <v>10</v>
      </c>
      <c r="D5" s="24" t="s">
        <v>11</v>
      </c>
      <c r="E5" s="24" t="str">
        <f t="shared" si="0"/>
        <v>2_Control_0-10</v>
      </c>
      <c r="F5" s="24" t="s">
        <v>14</v>
      </c>
      <c r="G5" s="31">
        <v>5624.8570821999992</v>
      </c>
      <c r="H5" s="17">
        <v>240</v>
      </c>
      <c r="I5">
        <f>G5*tools!$E$2*tools!$E$3*H5*tools!$E$6*10^-5</f>
        <v>0.55288697599781567</v>
      </c>
      <c r="L5" s="42" t="s">
        <v>93</v>
      </c>
      <c r="M5">
        <v>1.2514170641430717</v>
      </c>
      <c r="O5" s="42" t="s">
        <v>93</v>
      </c>
      <c r="P5" s="43">
        <v>12731.4305484</v>
      </c>
      <c r="R5" s="42" t="s">
        <v>93</v>
      </c>
      <c r="S5" s="43">
        <v>12731.4305484</v>
      </c>
    </row>
    <row r="6" spans="1:19" x14ac:dyDescent="0.2">
      <c r="A6" s="23" t="s">
        <v>17</v>
      </c>
      <c r="B6" s="24">
        <v>3</v>
      </c>
      <c r="C6" s="24" t="s">
        <v>10</v>
      </c>
      <c r="D6" s="24" t="s">
        <v>11</v>
      </c>
      <c r="E6" s="24" t="str">
        <f t="shared" si="0"/>
        <v>3_Control_0-10</v>
      </c>
      <c r="F6" s="24" t="s">
        <v>12</v>
      </c>
      <c r="G6" s="31">
        <v>3450.8758045999998</v>
      </c>
      <c r="H6" s="17">
        <v>240</v>
      </c>
      <c r="I6">
        <f>G6*tools!$E$2*tools!$E$3*H6*tools!$E$6*10^-5</f>
        <v>0.3391987138992491</v>
      </c>
      <c r="L6" s="42" t="s">
        <v>94</v>
      </c>
      <c r="M6">
        <v>1.1053317669788396</v>
      </c>
      <c r="O6" s="42" t="s">
        <v>94</v>
      </c>
      <c r="P6" s="43">
        <v>11245.215545999999</v>
      </c>
      <c r="R6" s="42" t="s">
        <v>94</v>
      </c>
      <c r="S6" s="43">
        <v>11245.215545999999</v>
      </c>
    </row>
    <row r="7" spans="1:19" x14ac:dyDescent="0.2">
      <c r="A7" s="23" t="s">
        <v>18</v>
      </c>
      <c r="B7" s="24">
        <v>3</v>
      </c>
      <c r="C7" s="24" t="s">
        <v>10</v>
      </c>
      <c r="D7" s="24" t="s">
        <v>11</v>
      </c>
      <c r="E7" s="24" t="str">
        <f t="shared" si="0"/>
        <v>3_Control_0-10</v>
      </c>
      <c r="F7" s="24" t="s">
        <v>14</v>
      </c>
      <c r="G7" s="31">
        <v>2918.4228429999998</v>
      </c>
      <c r="H7" s="17">
        <v>240</v>
      </c>
      <c r="I7">
        <f>G7*tools!$E$2*tools!$E$3*H7*tools!$E$6*10^-5</f>
        <v>0.28686204054061437</v>
      </c>
      <c r="L7" s="42" t="s">
        <v>95</v>
      </c>
      <c r="M7">
        <v>0.53754820244969292</v>
      </c>
      <c r="O7" s="42" t="s">
        <v>95</v>
      </c>
      <c r="P7" s="43">
        <v>5468.8063652000001</v>
      </c>
      <c r="R7" s="42" t="s">
        <v>95</v>
      </c>
      <c r="S7" s="43">
        <v>5468.8063652000001</v>
      </c>
    </row>
    <row r="8" spans="1:19" x14ac:dyDescent="0.2">
      <c r="A8" s="23" t="s">
        <v>19</v>
      </c>
      <c r="B8" s="24">
        <v>4</v>
      </c>
      <c r="C8" s="24" t="s">
        <v>10</v>
      </c>
      <c r="D8" s="24" t="s">
        <v>11</v>
      </c>
      <c r="E8" s="24" t="str">
        <f t="shared" si="0"/>
        <v>4_Control_0-10</v>
      </c>
      <c r="F8" s="24" t="s">
        <v>12</v>
      </c>
      <c r="G8" s="31">
        <v>5262.3358037999997</v>
      </c>
      <c r="H8" s="17">
        <v>240</v>
      </c>
      <c r="I8">
        <f>G8*tools!$E$2*tools!$E$3*H8*tools!$E$6*10^-5</f>
        <v>0.51725348515167235</v>
      </c>
      <c r="L8" s="42" t="s">
        <v>96</v>
      </c>
      <c r="M8">
        <v>1.9149454992556998</v>
      </c>
      <c r="O8" s="42" t="s">
        <v>96</v>
      </c>
      <c r="P8" s="43">
        <v>19481.910808400004</v>
      </c>
      <c r="R8" s="42" t="s">
        <v>96</v>
      </c>
      <c r="S8" s="43">
        <v>19481.910808400004</v>
      </c>
    </row>
    <row r="9" spans="1:19" x14ac:dyDescent="0.2">
      <c r="A9" s="23" t="s">
        <v>20</v>
      </c>
      <c r="B9" s="24">
        <v>4</v>
      </c>
      <c r="C9" s="24" t="s">
        <v>10</v>
      </c>
      <c r="D9" s="24" t="s">
        <v>11</v>
      </c>
      <c r="E9" s="24" t="str">
        <f t="shared" si="0"/>
        <v>4_Control_0-10</v>
      </c>
      <c r="F9" s="24" t="s">
        <v>14</v>
      </c>
      <c r="G9" s="31">
        <v>4918.3779805999993</v>
      </c>
      <c r="H9" s="17">
        <v>240</v>
      </c>
      <c r="I9">
        <f>G9*tools!$E$2*tools!$E$3*H9*tools!$E$6*10^-5</f>
        <v>0.48344466157433452</v>
      </c>
      <c r="L9" s="42" t="s">
        <v>97</v>
      </c>
      <c r="M9">
        <v>0.73430422134389106</v>
      </c>
      <c r="O9" s="42" t="s">
        <v>97</v>
      </c>
      <c r="P9" s="43">
        <v>7470.5255852000009</v>
      </c>
      <c r="R9" s="42" t="s">
        <v>97</v>
      </c>
      <c r="S9" s="43">
        <v>7470.5255852000009</v>
      </c>
    </row>
    <row r="10" spans="1:19" x14ac:dyDescent="0.2">
      <c r="A10" s="23" t="s">
        <v>21</v>
      </c>
      <c r="B10" s="24">
        <v>5</v>
      </c>
      <c r="C10" s="24" t="s">
        <v>10</v>
      </c>
      <c r="D10" s="24" t="s">
        <v>11</v>
      </c>
      <c r="E10" s="24" t="str">
        <f t="shared" si="0"/>
        <v>5_Control_0-10</v>
      </c>
      <c r="F10" s="24" t="s">
        <v>12</v>
      </c>
      <c r="G10" s="31">
        <v>6670.6370958000007</v>
      </c>
      <c r="H10" s="17">
        <v>240</v>
      </c>
      <c r="I10">
        <f>G10*tools!$E$2*tools!$E$3*H10*tools!$E$6*10^-5</f>
        <v>0.65568036982607525</v>
      </c>
      <c r="L10" s="42" t="s">
        <v>98</v>
      </c>
      <c r="M10">
        <v>0.62606075443986353</v>
      </c>
      <c r="O10" s="42" t="s">
        <v>98</v>
      </c>
      <c r="P10" s="43">
        <v>6369.2986475999996</v>
      </c>
      <c r="R10" s="42" t="s">
        <v>98</v>
      </c>
      <c r="S10" s="43">
        <v>6369.2986475999996</v>
      </c>
    </row>
    <row r="11" spans="1:19" x14ac:dyDescent="0.2">
      <c r="A11" s="23" t="s">
        <v>22</v>
      </c>
      <c r="B11" s="24">
        <v>5</v>
      </c>
      <c r="C11" s="24" t="s">
        <v>10</v>
      </c>
      <c r="D11" s="24" t="s">
        <v>11</v>
      </c>
      <c r="E11" s="24" t="str">
        <f t="shared" si="0"/>
        <v>5_Control_0-10</v>
      </c>
      <c r="F11" s="24" t="s">
        <v>14</v>
      </c>
      <c r="G11" s="31">
        <v>6841.6012246</v>
      </c>
      <c r="H11" s="17">
        <v>240</v>
      </c>
      <c r="I11">
        <f>G11*tools!$E$2*tools!$E$3*H11*tools!$E$6*10^-5</f>
        <v>0.67248503504600687</v>
      </c>
      <c r="L11" s="42" t="s">
        <v>99</v>
      </c>
      <c r="M11">
        <v>0.3071642021176792</v>
      </c>
      <c r="O11" s="42" t="s">
        <v>99</v>
      </c>
      <c r="P11" s="43">
        <v>3124.9691395999998</v>
      </c>
      <c r="R11" s="42" t="s">
        <v>99</v>
      </c>
      <c r="S11" s="43">
        <v>3124.9691395999998</v>
      </c>
    </row>
    <row r="12" spans="1:19" x14ac:dyDescent="0.2">
      <c r="A12" s="23" t="s">
        <v>23</v>
      </c>
      <c r="B12" s="24">
        <v>6</v>
      </c>
      <c r="C12" s="24" t="s">
        <v>10</v>
      </c>
      <c r="D12" s="24" t="s">
        <v>11</v>
      </c>
      <c r="E12" s="24" t="str">
        <f t="shared" si="0"/>
        <v>6_Control_0-10</v>
      </c>
      <c r="F12" s="24" t="s">
        <v>12</v>
      </c>
      <c r="G12" s="31">
        <v>17046.684543799998</v>
      </c>
      <c r="H12" s="17">
        <v>240</v>
      </c>
      <c r="I12">
        <f>G12*tools!$E$2*tools!$E$3*H12*tools!$E$6*10^-5</f>
        <v>1.6755785490151538</v>
      </c>
      <c r="L12" s="42" t="s">
        <v>100</v>
      </c>
      <c r="M12">
        <v>1.0557705716772696</v>
      </c>
      <c r="O12" s="42" t="s">
        <v>100</v>
      </c>
      <c r="P12" s="43">
        <v>10740.9992188</v>
      </c>
      <c r="R12" s="42" t="s">
        <v>100</v>
      </c>
      <c r="S12" s="43">
        <v>10740.9992188</v>
      </c>
    </row>
    <row r="13" spans="1:19" ht="17" thickBot="1" x14ac:dyDescent="0.25">
      <c r="A13" s="25" t="s">
        <v>24</v>
      </c>
      <c r="B13" s="26">
        <v>6</v>
      </c>
      <c r="C13" s="26" t="s">
        <v>10</v>
      </c>
      <c r="D13" s="26" t="s">
        <v>11</v>
      </c>
      <c r="E13" s="24" t="str">
        <f t="shared" si="0"/>
        <v>6_Control_0-10</v>
      </c>
      <c r="F13" s="26" t="s">
        <v>14</v>
      </c>
      <c r="G13" s="31">
        <v>18343.247420600001</v>
      </c>
      <c r="H13" s="17">
        <v>240</v>
      </c>
      <c r="I13">
        <f>G13*tools!$E$2*tools!$E$3*H13*tools!$E$6*10^-5</f>
        <v>1.8030222720589764</v>
      </c>
      <c r="L13" s="42" t="s">
        <v>101</v>
      </c>
      <c r="M13">
        <v>0.61990062481474406</v>
      </c>
      <c r="O13" s="42" t="s">
        <v>101</v>
      </c>
      <c r="P13" s="43">
        <v>6306.6278844000008</v>
      </c>
      <c r="R13" s="42" t="s">
        <v>101</v>
      </c>
      <c r="S13" s="43">
        <v>6306.6278844000008</v>
      </c>
    </row>
    <row r="14" spans="1:19" x14ac:dyDescent="0.2">
      <c r="A14" s="27" t="s">
        <v>25</v>
      </c>
      <c r="B14" s="1">
        <v>1</v>
      </c>
      <c r="C14" s="1" t="s">
        <v>10</v>
      </c>
      <c r="D14" s="1" t="s">
        <v>26</v>
      </c>
      <c r="E14" s="24" t="str">
        <f t="shared" si="0"/>
        <v>1_Control_10-30</v>
      </c>
      <c r="F14" s="1" t="s">
        <v>12</v>
      </c>
      <c r="G14" s="31">
        <v>2735.2070285999998</v>
      </c>
      <c r="H14" s="17">
        <v>240</v>
      </c>
      <c r="I14">
        <f>G14*tools!$E$2*tools!$E$3*H14*tools!$E$6*10^-5</f>
        <v>0.26885311407399315</v>
      </c>
      <c r="L14" s="42" t="s">
        <v>102</v>
      </c>
      <c r="M14">
        <v>1.0006981467260068</v>
      </c>
      <c r="O14" s="42" t="s">
        <v>102</v>
      </c>
      <c r="P14" s="43">
        <v>10180.713784399999</v>
      </c>
      <c r="R14" s="42" t="s">
        <v>102</v>
      </c>
      <c r="S14" s="43">
        <v>10180.713784399999</v>
      </c>
    </row>
    <row r="15" spans="1:19" x14ac:dyDescent="0.2">
      <c r="A15" s="28" t="s">
        <v>27</v>
      </c>
      <c r="B15" s="2">
        <v>1</v>
      </c>
      <c r="C15" s="2" t="s">
        <v>10</v>
      </c>
      <c r="D15" s="2" t="s">
        <v>26</v>
      </c>
      <c r="E15" s="24" t="str">
        <f t="shared" si="0"/>
        <v>1_Control_10-30</v>
      </c>
      <c r="F15" s="2" t="s">
        <v>14</v>
      </c>
      <c r="G15" s="31">
        <v>3735.1993245999997</v>
      </c>
      <c r="H15" s="17">
        <v>240</v>
      </c>
      <c r="I15">
        <f>G15*tools!$E$2*tools!$E$3*H15*tools!$E$6*10^-5</f>
        <v>0.36714587217911265</v>
      </c>
      <c r="L15" s="42" t="s">
        <v>103</v>
      </c>
      <c r="M15">
        <v>0.83521945806634812</v>
      </c>
      <c r="O15" s="42" t="s">
        <v>103</v>
      </c>
      <c r="P15" s="43">
        <v>8497.1979587999995</v>
      </c>
      <c r="R15" s="42" t="s">
        <v>103</v>
      </c>
      <c r="S15" s="43">
        <v>8497.1979587999995</v>
      </c>
    </row>
    <row r="16" spans="1:19" x14ac:dyDescent="0.2">
      <c r="A16" s="28" t="s">
        <v>28</v>
      </c>
      <c r="B16" s="2">
        <v>2</v>
      </c>
      <c r="C16" s="2" t="s">
        <v>10</v>
      </c>
      <c r="D16" s="2" t="s">
        <v>26</v>
      </c>
      <c r="E16" s="24" t="str">
        <f t="shared" si="0"/>
        <v>2_Control_10-30</v>
      </c>
      <c r="F16" s="2" t="s">
        <v>12</v>
      </c>
      <c r="G16" s="31">
        <v>2866.1663749999998</v>
      </c>
      <c r="H16" s="17">
        <v>240</v>
      </c>
      <c r="I16">
        <f>G16*tools!$E$2*tools!$E$3*H16*tools!$E$6*10^-5</f>
        <v>0.2817255686006826</v>
      </c>
      <c r="L16" s="42" t="s">
        <v>104</v>
      </c>
      <c r="M16">
        <v>1.8449253811068944</v>
      </c>
      <c r="O16" s="42" t="s">
        <v>104</v>
      </c>
      <c r="P16" s="43">
        <v>18769.5533564</v>
      </c>
      <c r="R16" s="42" t="s">
        <v>104</v>
      </c>
      <c r="S16" s="43">
        <v>18769.5533564</v>
      </c>
    </row>
    <row r="17" spans="1:19" x14ac:dyDescent="0.2">
      <c r="A17" s="28" t="s">
        <v>29</v>
      </c>
      <c r="B17" s="2">
        <v>2</v>
      </c>
      <c r="C17" s="2" t="s">
        <v>10</v>
      </c>
      <c r="D17" s="2" t="s">
        <v>26</v>
      </c>
      <c r="E17" s="24" t="str">
        <f t="shared" si="0"/>
        <v>2_Control_10-30</v>
      </c>
      <c r="F17" s="2" t="s">
        <v>14</v>
      </c>
      <c r="G17" s="31">
        <v>2602.6399902000003</v>
      </c>
      <c r="H17" s="17">
        <v>240</v>
      </c>
      <c r="I17">
        <f>G17*tools!$E$2*tools!$E$3*H17*tools!$E$6*10^-5</f>
        <v>0.25582263384901027</v>
      </c>
      <c r="L17" s="42" t="s">
        <v>105</v>
      </c>
      <c r="M17">
        <v>0.68182366931877136</v>
      </c>
      <c r="O17" s="42" t="s">
        <v>105</v>
      </c>
      <c r="P17" s="43">
        <v>6936.6088579999996</v>
      </c>
      <c r="R17" s="42" t="s">
        <v>105</v>
      </c>
      <c r="S17" s="43">
        <v>6936.6088579999996</v>
      </c>
    </row>
    <row r="18" spans="1:19" x14ac:dyDescent="0.2">
      <c r="A18" s="35" t="s">
        <v>30</v>
      </c>
      <c r="B18" s="36">
        <v>3</v>
      </c>
      <c r="C18" s="36" t="s">
        <v>10</v>
      </c>
      <c r="D18" s="36" t="s">
        <v>26</v>
      </c>
      <c r="E18" s="24" t="str">
        <f t="shared" si="0"/>
        <v>3_Control_10-30</v>
      </c>
      <c r="F18" s="36" t="s">
        <v>12</v>
      </c>
      <c r="G18" s="39">
        <v>1755.8766333999999</v>
      </c>
      <c r="H18" s="37">
        <v>240</v>
      </c>
      <c r="I18">
        <f>G18*tools!$E$2*tools!$E$3*H18*tools!$E$6*10^-5</f>
        <v>0.17259128683249148</v>
      </c>
      <c r="L18" s="42" t="s">
        <v>106</v>
      </c>
      <c r="M18">
        <v>1.3281654048720821</v>
      </c>
      <c r="O18" s="42" t="s">
        <v>106</v>
      </c>
      <c r="P18" s="43">
        <v>13512.2383204</v>
      </c>
      <c r="R18" s="42" t="s">
        <v>106</v>
      </c>
      <c r="S18" s="43">
        <v>13512.2383204</v>
      </c>
    </row>
    <row r="19" spans="1:19" x14ac:dyDescent="0.2">
      <c r="A19" s="35" t="s">
        <v>31</v>
      </c>
      <c r="B19" s="36">
        <v>3</v>
      </c>
      <c r="C19" s="36" t="s">
        <v>10</v>
      </c>
      <c r="D19" s="36" t="s">
        <v>26</v>
      </c>
      <c r="E19" s="24" t="str">
        <f t="shared" si="0"/>
        <v>3_Control_10-30</v>
      </c>
      <c r="F19" s="36" t="s">
        <v>14</v>
      </c>
      <c r="G19" s="39">
        <v>1369.0925062000001</v>
      </c>
      <c r="H19" s="37">
        <v>240</v>
      </c>
      <c r="I19">
        <f>G19*tools!$E$2*tools!$E$3*H19*tools!$E$6*10^-5</f>
        <v>0.13457291528518772</v>
      </c>
      <c r="L19" s="42" t="s">
        <v>107</v>
      </c>
      <c r="M19">
        <v>0.50613962851167238</v>
      </c>
      <c r="O19" s="42" t="s">
        <v>107</v>
      </c>
      <c r="P19" s="43">
        <v>5149.2677483999996</v>
      </c>
      <c r="R19" s="42" t="s">
        <v>107</v>
      </c>
      <c r="S19" s="43">
        <v>5149.2677483999996</v>
      </c>
    </row>
    <row r="20" spans="1:19" x14ac:dyDescent="0.2">
      <c r="A20" s="28" t="s">
        <v>32</v>
      </c>
      <c r="B20" s="2">
        <v>4</v>
      </c>
      <c r="C20" s="2" t="s">
        <v>10</v>
      </c>
      <c r="D20" s="2" t="s">
        <v>26</v>
      </c>
      <c r="E20" s="24" t="str">
        <f t="shared" si="0"/>
        <v>4_Control_10-30</v>
      </c>
      <c r="F20" s="2" t="s">
        <v>12</v>
      </c>
      <c r="G20" s="31">
        <v>4301.7533309999999</v>
      </c>
      <c r="H20" s="17">
        <v>240</v>
      </c>
      <c r="I20">
        <f>G20*tools!$E$2*tools!$E$3*H20*tools!$E$6*10^-5</f>
        <v>0.42283445710853246</v>
      </c>
      <c r="L20" s="42" t="s">
        <v>108</v>
      </c>
      <c r="M20">
        <v>2.8350820857403418</v>
      </c>
      <c r="O20" s="42" t="s">
        <v>108</v>
      </c>
      <c r="P20" s="43">
        <v>28843.022608400002</v>
      </c>
      <c r="R20" s="42" t="s">
        <v>108</v>
      </c>
      <c r="S20" s="43">
        <v>28843.022608400002</v>
      </c>
    </row>
    <row r="21" spans="1:19" x14ac:dyDescent="0.2">
      <c r="A21" s="28" t="s">
        <v>33</v>
      </c>
      <c r="B21" s="2">
        <v>4</v>
      </c>
      <c r="C21" s="2" t="s">
        <v>10</v>
      </c>
      <c r="D21" s="2" t="s">
        <v>26</v>
      </c>
      <c r="E21" s="24" t="str">
        <f t="shared" si="0"/>
        <v>4_Control_10-30</v>
      </c>
      <c r="F21" s="2" t="s">
        <v>14</v>
      </c>
      <c r="G21" s="31">
        <v>4195.4446277999996</v>
      </c>
      <c r="H21" s="17">
        <v>240</v>
      </c>
      <c r="I21">
        <f>G21*tools!$E$2*tools!$E$3*H21*tools!$E$6*10^-5</f>
        <v>0.41238500095781566</v>
      </c>
      <c r="L21" s="42" t="s">
        <v>109</v>
      </c>
      <c r="M21">
        <v>1.0955698539948124</v>
      </c>
      <c r="O21" s="42" t="s">
        <v>109</v>
      </c>
      <c r="P21" s="43">
        <v>11145.901639600001</v>
      </c>
      <c r="R21" s="42" t="s">
        <v>109</v>
      </c>
      <c r="S21" s="43">
        <v>11145.901639600001</v>
      </c>
    </row>
    <row r="22" spans="1:19" x14ac:dyDescent="0.2">
      <c r="A22" s="28" t="s">
        <v>34</v>
      </c>
      <c r="B22" s="2">
        <v>5</v>
      </c>
      <c r="C22" s="2" t="s">
        <v>10</v>
      </c>
      <c r="D22" s="2" t="s">
        <v>26</v>
      </c>
      <c r="E22" s="24" t="str">
        <f t="shared" si="0"/>
        <v>5_Control_10-30</v>
      </c>
      <c r="F22" s="2" t="s">
        <v>12</v>
      </c>
      <c r="G22" s="31">
        <v>2613.7286862000001</v>
      </c>
      <c r="H22" s="17">
        <v>240</v>
      </c>
      <c r="I22">
        <f>G22*tools!$E$2*tools!$E$3*H22*tools!$E$6*10^-5</f>
        <v>0.2569125807595905</v>
      </c>
      <c r="L22" s="42" t="s">
        <v>110</v>
      </c>
      <c r="M22">
        <v>3.4786008210741302</v>
      </c>
      <c r="O22" s="42" t="s">
        <v>110</v>
      </c>
      <c r="P22" s="43">
        <v>35389.931964399999</v>
      </c>
      <c r="R22" s="42" t="s">
        <v>110</v>
      </c>
      <c r="S22" s="43">
        <v>35389.931964399999</v>
      </c>
    </row>
    <row r="23" spans="1:19" x14ac:dyDescent="0.2">
      <c r="A23" s="28" t="s">
        <v>35</v>
      </c>
      <c r="B23" s="2">
        <v>5</v>
      </c>
      <c r="C23" s="2" t="s">
        <v>10</v>
      </c>
      <c r="D23" s="2" t="s">
        <v>26</v>
      </c>
      <c r="E23" s="24" t="str">
        <f t="shared" si="0"/>
        <v>5_Control_10-30</v>
      </c>
      <c r="F23" s="2" t="s">
        <v>14</v>
      </c>
      <c r="G23" s="31">
        <v>2535.5390622</v>
      </c>
      <c r="H23" s="17">
        <v>240</v>
      </c>
      <c r="I23">
        <f>G23*tools!$E$2*tools!$E$3*H23*tools!$E$6*10^-5</f>
        <v>0.2492270477520819</v>
      </c>
      <c r="L23" s="42" t="s">
        <v>111</v>
      </c>
      <c r="M23">
        <v>1.5527886164969287</v>
      </c>
      <c r="O23" s="42" t="s">
        <v>111</v>
      </c>
      <c r="P23" s="43">
        <v>15797.467522000003</v>
      </c>
      <c r="R23" s="42" t="s">
        <v>111</v>
      </c>
      <c r="S23" s="43">
        <v>15797.467522000003</v>
      </c>
    </row>
    <row r="24" spans="1:19" x14ac:dyDescent="0.2">
      <c r="A24" s="28" t="s">
        <v>36</v>
      </c>
      <c r="B24" s="2">
        <v>6</v>
      </c>
      <c r="C24" s="2" t="s">
        <v>10</v>
      </c>
      <c r="D24" s="2" t="s">
        <v>26</v>
      </c>
      <c r="E24" s="24" t="str">
        <f t="shared" si="0"/>
        <v>6_Control_10-30</v>
      </c>
      <c r="F24" s="2" t="s">
        <v>12</v>
      </c>
      <c r="G24" s="31">
        <v>7356.6074070000004</v>
      </c>
      <c r="H24" s="17">
        <v>240</v>
      </c>
      <c r="I24">
        <f>G24*tools!$E$2*tools!$E$3*H24*tools!$E$6*10^-5</f>
        <v>0.72310680314539255</v>
      </c>
      <c r="L24" s="42" t="s">
        <v>112</v>
      </c>
      <c r="M24">
        <v>2.0131078551284647</v>
      </c>
      <c r="O24" s="42" t="s">
        <v>112</v>
      </c>
      <c r="P24" s="43">
        <v>20480.576442800004</v>
      </c>
      <c r="R24" s="42" t="s">
        <v>112</v>
      </c>
      <c r="S24" s="43">
        <v>20480.576442800004</v>
      </c>
    </row>
    <row r="25" spans="1:19" ht="17" thickBot="1" x14ac:dyDescent="0.25">
      <c r="A25" s="29" t="s">
        <v>37</v>
      </c>
      <c r="B25" s="3">
        <v>6</v>
      </c>
      <c r="C25" s="3" t="s">
        <v>10</v>
      </c>
      <c r="D25" s="3" t="s">
        <v>26</v>
      </c>
      <c r="E25" s="24" t="str">
        <f t="shared" si="0"/>
        <v>6_Control_10-30</v>
      </c>
      <c r="F25" s="3" t="s">
        <v>14</v>
      </c>
      <c r="G25" s="31">
        <v>8440.8601150000013</v>
      </c>
      <c r="H25" s="17">
        <v>240</v>
      </c>
      <c r="I25">
        <f>G25*tools!$E$2*tools!$E$3*H25*tools!$E$6*10^-5</f>
        <v>0.82968181335153601</v>
      </c>
      <c r="L25" s="42" t="s">
        <v>113</v>
      </c>
      <c r="M25">
        <v>0.80243462747303773</v>
      </c>
      <c r="O25" s="42" t="s">
        <v>113</v>
      </c>
      <c r="P25" s="43">
        <v>8163.6578420000005</v>
      </c>
      <c r="R25" s="42" t="s">
        <v>113</v>
      </c>
      <c r="S25" s="43">
        <v>8163.6578420000005</v>
      </c>
    </row>
    <row r="26" spans="1:19" x14ac:dyDescent="0.2">
      <c r="A26" s="4" t="s">
        <v>38</v>
      </c>
      <c r="B26" s="5">
        <v>1</v>
      </c>
      <c r="C26" s="5" t="s">
        <v>39</v>
      </c>
      <c r="D26" s="5" t="s">
        <v>11</v>
      </c>
      <c r="E26" s="24" t="str">
        <f t="shared" si="0"/>
        <v>1_Heated_0-10</v>
      </c>
      <c r="F26" s="5" t="s">
        <v>12</v>
      </c>
      <c r="G26" s="31">
        <v>11261.099267800002</v>
      </c>
      <c r="H26" s="17">
        <v>240</v>
      </c>
      <c r="I26">
        <f>G26*tools!$E$2*tools!$E$3*H26*tools!$E$6*10^-5</f>
        <v>1.1068930338315361</v>
      </c>
      <c r="L26" s="42" t="s">
        <v>114</v>
      </c>
      <c r="M26">
        <v>30.579983403948127</v>
      </c>
      <c r="O26" s="42" t="s">
        <v>116</v>
      </c>
      <c r="P26" s="43"/>
    </row>
    <row r="27" spans="1:19" x14ac:dyDescent="0.2">
      <c r="A27" s="6" t="s">
        <v>40</v>
      </c>
      <c r="B27" s="7">
        <v>1</v>
      </c>
      <c r="C27" s="7" t="s">
        <v>39</v>
      </c>
      <c r="D27" s="7" t="s">
        <v>11</v>
      </c>
      <c r="E27" s="24" t="str">
        <f t="shared" si="0"/>
        <v>1_Heated_0-10</v>
      </c>
      <c r="F27" s="7" t="s">
        <v>14</v>
      </c>
      <c r="G27" s="31">
        <v>12298.752523800002</v>
      </c>
      <c r="H27" s="17">
        <v>240</v>
      </c>
      <c r="I27">
        <f>G27*tools!$E$2*tools!$E$3*H27*tools!$E$6*10^-5</f>
        <v>1.2088876200868264</v>
      </c>
      <c r="O27" s="42" t="s">
        <v>114</v>
      </c>
      <c r="P27" s="43">
        <v>311108.85893600003</v>
      </c>
    </row>
    <row r="28" spans="1:19" x14ac:dyDescent="0.2">
      <c r="A28" s="6" t="s">
        <v>41</v>
      </c>
      <c r="B28" s="7">
        <v>2</v>
      </c>
      <c r="C28" s="7" t="s">
        <v>39</v>
      </c>
      <c r="D28" s="7" t="s">
        <v>11</v>
      </c>
      <c r="E28" s="24" t="str">
        <f t="shared" si="0"/>
        <v>2_Heated_0-10</v>
      </c>
      <c r="F28" s="7" t="s">
        <v>12</v>
      </c>
      <c r="G28" s="31">
        <v>9165.9783086000007</v>
      </c>
      <c r="H28" s="17">
        <v>240</v>
      </c>
      <c r="I28">
        <f>G28*tools!$E$2*tools!$E$3*H28*tools!$E$6*10^-5</f>
        <v>0.90095622965078503</v>
      </c>
    </row>
    <row r="29" spans="1:19" x14ac:dyDescent="0.2">
      <c r="A29" s="6" t="s">
        <v>42</v>
      </c>
      <c r="B29" s="7">
        <v>2</v>
      </c>
      <c r="C29" s="7" t="s">
        <v>39</v>
      </c>
      <c r="D29" s="7" t="s">
        <v>11</v>
      </c>
      <c r="E29" s="24" t="str">
        <f t="shared" si="0"/>
        <v>2_Heated_0-10</v>
      </c>
      <c r="F29" s="7" t="s">
        <v>14</v>
      </c>
      <c r="G29" s="31">
        <v>10315.932499800001</v>
      </c>
      <c r="H29" s="17">
        <v>240</v>
      </c>
      <c r="I29">
        <f>G29*tools!$E$2*tools!$E$3*H29*tools!$E$6*10^-5</f>
        <v>1.0139892696049149</v>
      </c>
    </row>
    <row r="30" spans="1:19" x14ac:dyDescent="0.2">
      <c r="A30" s="6" t="s">
        <v>43</v>
      </c>
      <c r="B30" s="7">
        <v>3</v>
      </c>
      <c r="C30" s="7" t="s">
        <v>39</v>
      </c>
      <c r="D30" s="7" t="s">
        <v>11</v>
      </c>
      <c r="E30" s="24" t="str">
        <f t="shared" si="0"/>
        <v>3_Heated_0-10</v>
      </c>
      <c r="F30" s="7" t="s">
        <v>12</v>
      </c>
      <c r="G30" s="31">
        <v>5626.702115</v>
      </c>
      <c r="H30" s="17">
        <v>240</v>
      </c>
      <c r="I30">
        <f>G30*tools!$E$2*tools!$E$3*H30*tools!$E$6*10^-5</f>
        <v>0.55306833075767914</v>
      </c>
    </row>
    <row r="31" spans="1:19" x14ac:dyDescent="0.2">
      <c r="A31" s="6" t="s">
        <v>44</v>
      </c>
      <c r="B31" s="7">
        <v>3</v>
      </c>
      <c r="C31" s="7" t="s">
        <v>39</v>
      </c>
      <c r="D31" s="7" t="s">
        <v>11</v>
      </c>
      <c r="E31" s="24" t="str">
        <f t="shared" si="0"/>
        <v>3_Heated_0-10</v>
      </c>
      <c r="F31" s="7" t="s">
        <v>14</v>
      </c>
      <c r="G31" s="31">
        <v>5114.2971037999996</v>
      </c>
      <c r="H31" s="17">
        <v>240</v>
      </c>
      <c r="I31">
        <f>G31*tools!$E$2*tools!$E$3*H31*tools!$E$6*10^-5</f>
        <v>0.50270224091959048</v>
      </c>
    </row>
    <row r="32" spans="1:19" x14ac:dyDescent="0.2">
      <c r="A32" s="6" t="s">
        <v>45</v>
      </c>
      <c r="B32" s="7">
        <v>4</v>
      </c>
      <c r="C32" s="7" t="s">
        <v>39</v>
      </c>
      <c r="D32" s="7" t="s">
        <v>11</v>
      </c>
      <c r="E32" s="24" t="str">
        <f t="shared" si="0"/>
        <v>4_Heated_0-10</v>
      </c>
      <c r="F32" s="7" t="s">
        <v>12</v>
      </c>
      <c r="G32" s="31">
        <v>9868.5811062000012</v>
      </c>
      <c r="H32" s="17">
        <v>240</v>
      </c>
      <c r="I32">
        <f>G32*tools!$E$2*tools!$E$3*H32*tools!$E$6*10^-5</f>
        <v>0.97001752852750867</v>
      </c>
    </row>
    <row r="33" spans="1:9" x14ac:dyDescent="0.2">
      <c r="A33" s="6" t="s">
        <v>46</v>
      </c>
      <c r="B33" s="7">
        <v>4</v>
      </c>
      <c r="C33" s="7" t="s">
        <v>39</v>
      </c>
      <c r="D33" s="7" t="s">
        <v>11</v>
      </c>
      <c r="E33" s="24" t="str">
        <f t="shared" si="0"/>
        <v>4_Heated_0-10</v>
      </c>
      <c r="F33" s="7" t="s">
        <v>14</v>
      </c>
      <c r="G33" s="31">
        <v>8900.9722502000004</v>
      </c>
      <c r="H33" s="17">
        <v>240</v>
      </c>
      <c r="I33">
        <f>G33*tools!$E$2*tools!$E$3*H33*tools!$E$6*10^-5</f>
        <v>0.87490785257938575</v>
      </c>
    </row>
    <row r="34" spans="1:9" x14ac:dyDescent="0.2">
      <c r="A34" s="6" t="s">
        <v>47</v>
      </c>
      <c r="B34" s="7">
        <v>5</v>
      </c>
      <c r="C34" s="7" t="s">
        <v>39</v>
      </c>
      <c r="D34" s="7" t="s">
        <v>11</v>
      </c>
      <c r="E34" s="24" t="str">
        <f t="shared" si="0"/>
        <v>5_Heated_0-10</v>
      </c>
      <c r="F34" s="7" t="s">
        <v>12</v>
      </c>
      <c r="G34" s="31">
        <v>13206.895996600002</v>
      </c>
      <c r="H34" s="17">
        <v>240</v>
      </c>
      <c r="I34">
        <f>G34*tools!$E$2*tools!$E$3*H34*tools!$E$6*10^-5</f>
        <v>1.2981522344780889</v>
      </c>
    </row>
    <row r="35" spans="1:9" x14ac:dyDescent="0.2">
      <c r="A35" s="6" t="s">
        <v>48</v>
      </c>
      <c r="B35" s="7">
        <v>5</v>
      </c>
      <c r="C35" s="7" t="s">
        <v>39</v>
      </c>
      <c r="D35" s="7" t="s">
        <v>11</v>
      </c>
      <c r="E35" s="24" t="str">
        <f t="shared" si="0"/>
        <v>5_Heated_0-10</v>
      </c>
      <c r="F35" s="7" t="s">
        <v>14</v>
      </c>
      <c r="G35" s="31">
        <v>15636.126611800002</v>
      </c>
      <c r="H35" s="17">
        <v>240</v>
      </c>
      <c r="I35">
        <f>G35*tools!$E$2*tools!$E$3*H35*tools!$E$6*10^-5</f>
        <v>1.5369298512622529</v>
      </c>
    </row>
    <row r="36" spans="1:9" x14ac:dyDescent="0.2">
      <c r="A36" s="6" t="s">
        <v>49</v>
      </c>
      <c r="B36" s="7">
        <v>6</v>
      </c>
      <c r="C36" s="7" t="s">
        <v>39</v>
      </c>
      <c r="D36" s="7" t="s">
        <v>11</v>
      </c>
      <c r="E36" s="24" t="str">
        <f t="shared" si="0"/>
        <v>6_Heated_0-10</v>
      </c>
      <c r="F36" s="7" t="s">
        <v>12</v>
      </c>
      <c r="G36" s="31">
        <v>8870.3015934000014</v>
      </c>
      <c r="H36" s="17">
        <v>240</v>
      </c>
      <c r="I36">
        <f>G36*tools!$E$2*tools!$E$3*H36*tools!$E$6*10^-5</f>
        <v>0.87189312590416401</v>
      </c>
    </row>
    <row r="37" spans="1:9" ht="17" thickBot="1" x14ac:dyDescent="0.25">
      <c r="A37" s="8" t="s">
        <v>50</v>
      </c>
      <c r="B37" s="9">
        <v>6</v>
      </c>
      <c r="C37" s="9" t="s">
        <v>39</v>
      </c>
      <c r="D37" s="9" t="s">
        <v>11</v>
      </c>
      <c r="E37" s="24" t="str">
        <f t="shared" si="0"/>
        <v>6_Heated_0-10</v>
      </c>
      <c r="F37" s="9" t="s">
        <v>14</v>
      </c>
      <c r="G37" s="31">
        <v>11610.274849400001</v>
      </c>
      <c r="H37" s="17">
        <v>240</v>
      </c>
      <c r="I37">
        <f>G37*tools!$E$2*tools!$E$3*H37*tools!$E$6*10^-5</f>
        <v>1.1412147292243007</v>
      </c>
    </row>
    <row r="38" spans="1:9" x14ac:dyDescent="0.2">
      <c r="A38" s="10" t="s">
        <v>51</v>
      </c>
      <c r="B38" s="11">
        <v>1</v>
      </c>
      <c r="C38" s="11" t="s">
        <v>39</v>
      </c>
      <c r="D38" s="11" t="s">
        <v>26</v>
      </c>
      <c r="E38" s="24" t="str">
        <f t="shared" si="0"/>
        <v>1_Heated_10-30</v>
      </c>
      <c r="F38" s="11" t="s">
        <v>12</v>
      </c>
      <c r="G38" s="31">
        <v>5999.2573069999999</v>
      </c>
      <c r="H38" s="17">
        <v>240</v>
      </c>
      <c r="I38">
        <f>G38*tools!$E$2*tools!$E$3*H38*tools!$E$6*10^-5</f>
        <v>0.58968809024436863</v>
      </c>
    </row>
    <row r="39" spans="1:9" x14ac:dyDescent="0.2">
      <c r="A39" s="12" t="s">
        <v>52</v>
      </c>
      <c r="B39" s="13">
        <v>1</v>
      </c>
      <c r="C39" s="13" t="s">
        <v>39</v>
      </c>
      <c r="D39" s="13" t="s">
        <v>26</v>
      </c>
      <c r="E39" s="24" t="str">
        <f t="shared" si="0"/>
        <v>1_Heated_10-30</v>
      </c>
      <c r="F39" s="13" t="s">
        <v>14</v>
      </c>
      <c r="G39" s="31">
        <v>6732.1732413999998</v>
      </c>
      <c r="H39" s="17">
        <v>240</v>
      </c>
      <c r="I39">
        <f>G39*tools!$E$2*tools!$E$3*H39*tools!$E$6*10^-5</f>
        <v>0.66172897389870322</v>
      </c>
    </row>
    <row r="40" spans="1:9" x14ac:dyDescent="0.2">
      <c r="A40" s="12" t="s">
        <v>53</v>
      </c>
      <c r="B40" s="13">
        <v>2</v>
      </c>
      <c r="C40" s="13" t="s">
        <v>39</v>
      </c>
      <c r="D40" s="13" t="s">
        <v>26</v>
      </c>
      <c r="E40" s="24" t="str">
        <f t="shared" si="0"/>
        <v>2_Heated_10-30</v>
      </c>
      <c r="F40" s="13" t="s">
        <v>12</v>
      </c>
      <c r="G40" s="31">
        <v>3978.6457462000003</v>
      </c>
      <c r="H40" s="17">
        <v>240</v>
      </c>
      <c r="I40">
        <f>G40*tools!$E$2*tools!$E$3*H40*tools!$E$6*10^-5</f>
        <v>0.39107507675959058</v>
      </c>
    </row>
    <row r="41" spans="1:9" x14ac:dyDescent="0.2">
      <c r="A41" s="12" t="s">
        <v>54</v>
      </c>
      <c r="B41" s="13">
        <v>2</v>
      </c>
      <c r="C41" s="13" t="s">
        <v>39</v>
      </c>
      <c r="D41" s="13" t="s">
        <v>26</v>
      </c>
      <c r="E41" s="24" t="str">
        <f t="shared" si="0"/>
        <v>2_Heated_10-30</v>
      </c>
      <c r="F41" s="13" t="s">
        <v>14</v>
      </c>
      <c r="G41" s="31">
        <v>3491.8798390000002</v>
      </c>
      <c r="H41" s="17">
        <v>240</v>
      </c>
      <c r="I41">
        <f>G41*tools!$E$2*tools!$E$3*H41*tools!$E$6*10^-5</f>
        <v>0.34322914458430043</v>
      </c>
    </row>
    <row r="42" spans="1:9" x14ac:dyDescent="0.2">
      <c r="A42" s="12" t="s">
        <v>55</v>
      </c>
      <c r="B42" s="13">
        <v>3</v>
      </c>
      <c r="C42" s="13" t="s">
        <v>39</v>
      </c>
      <c r="D42" s="13" t="s">
        <v>26</v>
      </c>
      <c r="E42" s="24" t="str">
        <f t="shared" si="0"/>
        <v>3_Heated_10-30</v>
      </c>
      <c r="F42" s="13" t="s">
        <v>12</v>
      </c>
      <c r="G42" s="31">
        <v>3157.0838429999999</v>
      </c>
      <c r="H42" s="17">
        <v>240</v>
      </c>
      <c r="I42">
        <f>G42*tools!$E$2*tools!$E$3*H42*tools!$E$6*10^-5</f>
        <v>0.31032086920955632</v>
      </c>
    </row>
    <row r="43" spans="1:9" x14ac:dyDescent="0.2">
      <c r="A43" s="12" t="s">
        <v>56</v>
      </c>
      <c r="B43" s="13">
        <v>3</v>
      </c>
      <c r="C43" s="13" t="s">
        <v>39</v>
      </c>
      <c r="D43" s="13" t="s">
        <v>26</v>
      </c>
      <c r="E43" s="24" t="str">
        <f t="shared" si="0"/>
        <v>3_Heated_10-30</v>
      </c>
      <c r="F43" s="13" t="s">
        <v>14</v>
      </c>
      <c r="G43" s="31">
        <v>3149.5440414000004</v>
      </c>
      <c r="H43" s="17">
        <v>240</v>
      </c>
      <c r="I43">
        <f>G43*tools!$E$2*tools!$E$3*H43*tools!$E$6*10^-5</f>
        <v>0.30957975560518775</v>
      </c>
    </row>
    <row r="44" spans="1:9" x14ac:dyDescent="0.2">
      <c r="A44" s="12" t="s">
        <v>57</v>
      </c>
      <c r="B44" s="13">
        <v>4</v>
      </c>
      <c r="C44" s="13" t="s">
        <v>39</v>
      </c>
      <c r="D44" s="13" t="s">
        <v>26</v>
      </c>
      <c r="E44" s="24" t="str">
        <f t="shared" si="0"/>
        <v>4_Heated_10-30</v>
      </c>
      <c r="F44" s="13" t="s">
        <v>12</v>
      </c>
      <c r="G44" s="31">
        <v>3385.1595285999997</v>
      </c>
      <c r="H44" s="17">
        <v>240</v>
      </c>
      <c r="I44">
        <f>G44*tools!$E$2*tools!$E$3*H44*tools!$E$6*10^-5</f>
        <v>0.33273923011494883</v>
      </c>
    </row>
    <row r="45" spans="1:9" x14ac:dyDescent="0.2">
      <c r="A45" s="12" t="s">
        <v>58</v>
      </c>
      <c r="B45" s="13">
        <v>4</v>
      </c>
      <c r="C45" s="13" t="s">
        <v>39</v>
      </c>
      <c r="D45" s="13" t="s">
        <v>26</v>
      </c>
      <c r="E45" s="24" t="str">
        <f t="shared" si="0"/>
        <v>4_Heated_10-30</v>
      </c>
      <c r="F45" s="13" t="s">
        <v>14</v>
      </c>
      <c r="G45" s="31">
        <v>3551.4493294000004</v>
      </c>
      <c r="H45" s="17">
        <v>240</v>
      </c>
      <c r="I45">
        <f>G45*tools!$E$2*tools!$E$3*H45*tools!$E$6*10^-5</f>
        <v>0.34908443920382259</v>
      </c>
    </row>
    <row r="46" spans="1:9" x14ac:dyDescent="0.2">
      <c r="A46" s="12" t="s">
        <v>59</v>
      </c>
      <c r="B46" s="13">
        <v>5</v>
      </c>
      <c r="C46" s="13" t="s">
        <v>39</v>
      </c>
      <c r="D46" s="13" t="s">
        <v>26</v>
      </c>
      <c r="E46" s="24" t="str">
        <f t="shared" si="0"/>
        <v>5_Heated_10-30</v>
      </c>
      <c r="F46" s="13" t="s">
        <v>12</v>
      </c>
      <c r="G46" s="31">
        <v>5791.1726638000009</v>
      </c>
      <c r="H46" s="17">
        <v>240</v>
      </c>
      <c r="I46">
        <f>G46*tools!$E$2*tools!$E$3*H46*tools!$E$6*10^-5</f>
        <v>0.56923471917215029</v>
      </c>
    </row>
    <row r="47" spans="1:9" x14ac:dyDescent="0.2">
      <c r="A47" s="12" t="s">
        <v>60</v>
      </c>
      <c r="B47" s="13">
        <v>5</v>
      </c>
      <c r="C47" s="13" t="s">
        <v>39</v>
      </c>
      <c r="D47" s="13" t="s">
        <v>26</v>
      </c>
      <c r="E47" s="24" t="str">
        <f t="shared" si="0"/>
        <v>5_Heated_10-30</v>
      </c>
      <c r="F47" s="13" t="s">
        <v>14</v>
      </c>
      <c r="G47" s="31">
        <v>5354.7289757999997</v>
      </c>
      <c r="H47" s="17">
        <v>240</v>
      </c>
      <c r="I47">
        <f>G47*tools!$E$2*tools!$E$3*H47*tools!$E$6*10^-5</f>
        <v>0.52633513482266214</v>
      </c>
    </row>
    <row r="48" spans="1:9" x14ac:dyDescent="0.2">
      <c r="A48" s="12" t="s">
        <v>61</v>
      </c>
      <c r="B48" s="13">
        <v>6</v>
      </c>
      <c r="C48" s="13" t="s">
        <v>39</v>
      </c>
      <c r="D48" s="13" t="s">
        <v>26</v>
      </c>
      <c r="E48" s="24" t="str">
        <f t="shared" si="0"/>
        <v>6_Heated_10-30</v>
      </c>
      <c r="F48" s="13" t="s">
        <v>12</v>
      </c>
      <c r="G48" s="31">
        <v>4163.3265726</v>
      </c>
      <c r="H48" s="17">
        <v>240</v>
      </c>
      <c r="I48">
        <f>G48*tools!$E$2*tools!$E$3*H48*tools!$E$6*10^-5</f>
        <v>0.40922800440573387</v>
      </c>
    </row>
    <row r="49" spans="1:9" x14ac:dyDescent="0.2">
      <c r="A49" s="12" t="s">
        <v>62</v>
      </c>
      <c r="B49" s="13">
        <v>6</v>
      </c>
      <c r="C49" s="13" t="s">
        <v>39</v>
      </c>
      <c r="D49" s="13" t="s">
        <v>26</v>
      </c>
      <c r="E49" s="24" t="str">
        <f t="shared" si="0"/>
        <v>6_Heated_10-30</v>
      </c>
      <c r="F49" s="13" t="s">
        <v>14</v>
      </c>
      <c r="G49" s="31">
        <v>4000.3312694000001</v>
      </c>
      <c r="H49" s="17">
        <v>240</v>
      </c>
      <c r="I49">
        <f>G49*tools!$E$2*tools!$E$3*H49*tools!$E$6*10^-5</f>
        <v>0.39320662306730386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9855-CFC9-4449-85D3-BBE3FB28236D}">
  <dimension ref="A1:F8"/>
  <sheetViews>
    <sheetView workbookViewId="0">
      <selection activeCell="E4" sqref="E4"/>
    </sheetView>
  </sheetViews>
  <sheetFormatPr baseColWidth="10" defaultRowHeight="16" x14ac:dyDescent="0.2"/>
  <sheetData>
    <row r="1" spans="1:6" x14ac:dyDescent="0.2">
      <c r="A1" t="s">
        <v>69</v>
      </c>
      <c r="B1" t="s">
        <v>70</v>
      </c>
      <c r="D1" t="s">
        <v>84</v>
      </c>
      <c r="E1" t="s">
        <v>85</v>
      </c>
      <c r="F1" t="s">
        <v>68</v>
      </c>
    </row>
    <row r="2" spans="1:6" x14ac:dyDescent="0.2">
      <c r="A2" t="s">
        <v>73</v>
      </c>
      <c r="B2">
        <v>12</v>
      </c>
      <c r="D2" t="s">
        <v>74</v>
      </c>
      <c r="E2">
        <v>8.2100000000000006E-2</v>
      </c>
      <c r="F2" t="s">
        <v>75</v>
      </c>
    </row>
    <row r="3" spans="1:6" x14ac:dyDescent="0.2">
      <c r="A3" t="s">
        <v>76</v>
      </c>
      <c r="B3">
        <v>16</v>
      </c>
      <c r="D3" t="s">
        <v>77</v>
      </c>
      <c r="E3">
        <f>B2/B4</f>
        <v>0.27272727272727271</v>
      </c>
    </row>
    <row r="4" spans="1:6" x14ac:dyDescent="0.2">
      <c r="A4" t="s">
        <v>78</v>
      </c>
      <c r="B4">
        <f>B3*2+B2</f>
        <v>44</v>
      </c>
      <c r="D4" t="s">
        <v>79</v>
      </c>
      <c r="E4">
        <f>1/10^6</f>
        <v>9.9999999999999995E-7</v>
      </c>
    </row>
    <row r="5" spans="1:6" x14ac:dyDescent="0.2">
      <c r="D5" t="s">
        <v>80</v>
      </c>
      <c r="E5">
        <f>1/(E2*293)</f>
        <v>4.1570880429676618E-2</v>
      </c>
      <c r="F5" t="s">
        <v>81</v>
      </c>
    </row>
    <row r="6" spans="1:6" x14ac:dyDescent="0.2">
      <c r="D6" t="s">
        <v>82</v>
      </c>
      <c r="E6">
        <f>E5*B4</f>
        <v>1.8291187389057713</v>
      </c>
      <c r="F6" t="s">
        <v>83</v>
      </c>
    </row>
    <row r="8" spans="1:6" x14ac:dyDescent="0.2">
      <c r="A8" s="40" t="s">
        <v>71</v>
      </c>
      <c r="B8" s="4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yields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Kwatcho Kengdo</dc:creator>
  <cp:lastModifiedBy>Beem-Miller, Jeffrey</cp:lastModifiedBy>
  <dcterms:created xsi:type="dcterms:W3CDTF">2025-01-24T00:50:45Z</dcterms:created>
  <dcterms:modified xsi:type="dcterms:W3CDTF">2025-06-26T19:57:48Z</dcterms:modified>
</cp:coreProperties>
</file>