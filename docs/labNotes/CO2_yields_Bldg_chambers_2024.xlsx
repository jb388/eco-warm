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beemmil@umich.edu/eco-warm/docs/labNotes/"/>
    </mc:Choice>
  </mc:AlternateContent>
  <xr:revisionPtr revIDLastSave="0" documentId="8_{88535DCE-2963-4446-8500-CFD517AC653F}" xr6:coauthVersionLast="47" xr6:coauthVersionMax="47" xr10:uidLastSave="{00000000-0000-0000-0000-000000000000}"/>
  <bookViews>
    <workbookView xWindow="600" yWindow="800" windowWidth="27640" windowHeight="16940" xr2:uid="{C49A140A-9E3E-F843-A887-10AD345A9B9D}"/>
  </bookViews>
  <sheets>
    <sheet name="Sheet1" sheetId="1" r:id="rId1"/>
  </sheets>
  <definedNames>
    <definedName name="_xlchart.v1.0" hidden="1">Sheet1!$M$2:$M$12</definedName>
    <definedName name="_xlchart.v1.1" hidden="1">Sheet1!$N$2:$N$12</definedName>
  </definedNames>
  <calcPr calcId="181029"/>
  <pivotCaches>
    <pivotCache cacheId="11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1" l="1"/>
  <c r="F8" i="1"/>
  <c r="G15" i="1"/>
  <c r="G13" i="1"/>
  <c r="G11" i="1"/>
</calcChain>
</file>

<file path=xl/sharedStrings.xml><?xml version="1.0" encoding="utf-8"?>
<sst xmlns="http://schemas.openxmlformats.org/spreadsheetml/2006/main" count="54" uniqueCount="31">
  <si>
    <t>LBLT</t>
  </si>
  <si>
    <t>P_open</t>
  </si>
  <si>
    <t>plot</t>
  </si>
  <si>
    <t>Date_collection</t>
  </si>
  <si>
    <t>Date_extract</t>
  </si>
  <si>
    <t>7/17/2024</t>
  </si>
  <si>
    <t>2/15/2024</t>
  </si>
  <si>
    <t>3H</t>
  </si>
  <si>
    <t>10/3/2024</t>
  </si>
  <si>
    <t>6C</t>
  </si>
  <si>
    <t>10/4/2024</t>
  </si>
  <si>
    <t>5C</t>
  </si>
  <si>
    <t>3C</t>
  </si>
  <si>
    <t>yield_torr</t>
  </si>
  <si>
    <t>yield_mgC</t>
  </si>
  <si>
    <t>7/18/2024</t>
  </si>
  <si>
    <t>2C</t>
  </si>
  <si>
    <t>2H</t>
  </si>
  <si>
    <t>4C</t>
  </si>
  <si>
    <t>9/23/2024</t>
  </si>
  <si>
    <t>1H</t>
  </si>
  <si>
    <t>5H</t>
  </si>
  <si>
    <t>1C</t>
  </si>
  <si>
    <t>6H</t>
  </si>
  <si>
    <t>vol</t>
  </si>
  <si>
    <t>Grand Total</t>
  </si>
  <si>
    <t>Row Labels</t>
  </si>
  <si>
    <t>Sum of P_open</t>
  </si>
  <si>
    <t>Sum of yield_torr</t>
  </si>
  <si>
    <t>Sum of yield_mgC</t>
  </si>
  <si>
    <t>Sum of vol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</si>
</sst>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1" fillId="2" borderId="1" xfId="0" applyFont="1" applyFill="1" applyBorder="1"/>
    <xf numFmtId="0" fontId="0" fillId="0" borderId="0" xfId="0" applyAlignment="1">
      <alignment horizontal="left"/>
    </xf>
    <xf numFmtId="0" fontId="0" fillId="0" borderId="0" xfId="0" applyNumberFormat="1"/>
    <xf numFmtId="0" fontId="1" fillId="2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Sheet1!$I$19:$I$29</c:f>
              <c:numCache>
                <c:formatCode>General</c:formatCode>
                <c:ptCount val="11"/>
                <c:pt idx="0">
                  <c:v>1000</c:v>
                </c:pt>
                <c:pt idx="1">
                  <c:v>500</c:v>
                </c:pt>
                <c:pt idx="2">
                  <c:v>500</c:v>
                </c:pt>
                <c:pt idx="3">
                  <c:v>500</c:v>
                </c:pt>
                <c:pt idx="4">
                  <c:v>500</c:v>
                </c:pt>
                <c:pt idx="5">
                  <c:v>500</c:v>
                </c:pt>
                <c:pt idx="6">
                  <c:v>500</c:v>
                </c:pt>
                <c:pt idx="7">
                  <c:v>500</c:v>
                </c:pt>
                <c:pt idx="8">
                  <c:v>500</c:v>
                </c:pt>
                <c:pt idx="9">
                  <c:v>1000</c:v>
                </c:pt>
                <c:pt idx="10">
                  <c:v>1000</c:v>
                </c:pt>
              </c:numCache>
            </c:numRef>
          </c:xVal>
          <c:yVal>
            <c:numRef>
              <c:f>Sheet1!$J$19:$J$29</c:f>
              <c:numCache>
                <c:formatCode>General</c:formatCode>
                <c:ptCount val="11"/>
                <c:pt idx="0">
                  <c:v>0.28000000000000003</c:v>
                </c:pt>
                <c:pt idx="1">
                  <c:v>0.21</c:v>
                </c:pt>
                <c:pt idx="2">
                  <c:v>0.27</c:v>
                </c:pt>
                <c:pt idx="3">
                  <c:v>0.16</c:v>
                </c:pt>
                <c:pt idx="4">
                  <c:v>0.17</c:v>
                </c:pt>
                <c:pt idx="5">
                  <c:v>0.22</c:v>
                </c:pt>
                <c:pt idx="6">
                  <c:v>0.13</c:v>
                </c:pt>
                <c:pt idx="7">
                  <c:v>0.23</c:v>
                </c:pt>
                <c:pt idx="8">
                  <c:v>0.3</c:v>
                </c:pt>
                <c:pt idx="9">
                  <c:v>0.39</c:v>
                </c:pt>
                <c:pt idx="10">
                  <c:v>0.36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55-5F49-A80D-C42BD93684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4206159"/>
        <c:axId val="934207871"/>
      </c:scatterChart>
      <c:valAx>
        <c:axId val="934206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4207871"/>
        <c:crosses val="autoZero"/>
        <c:crossBetween val="midCat"/>
      </c:valAx>
      <c:valAx>
        <c:axId val="934207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42061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p_open</a:t>
            </a:r>
            <a:r>
              <a:rPr lang="en-US" baseline="0"/>
              <a:t> vs yield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Sheet1!$K$19:$K$29</c:f>
              <c:numCache>
                <c:formatCode>General</c:formatCode>
                <c:ptCount val="11"/>
                <c:pt idx="0">
                  <c:v>53</c:v>
                </c:pt>
                <c:pt idx="1">
                  <c:v>39</c:v>
                </c:pt>
                <c:pt idx="2">
                  <c:v>50</c:v>
                </c:pt>
                <c:pt idx="3">
                  <c:v>28</c:v>
                </c:pt>
                <c:pt idx="4">
                  <c:v>31</c:v>
                </c:pt>
                <c:pt idx="5">
                  <c:v>40</c:v>
                </c:pt>
                <c:pt idx="6">
                  <c:v>22</c:v>
                </c:pt>
                <c:pt idx="7">
                  <c:v>43</c:v>
                </c:pt>
                <c:pt idx="8">
                  <c:v>57</c:v>
                </c:pt>
                <c:pt idx="9">
                  <c:v>74</c:v>
                </c:pt>
                <c:pt idx="10">
                  <c:v>68</c:v>
                </c:pt>
              </c:numCache>
            </c:numRef>
          </c:xVal>
          <c:yVal>
            <c:numRef>
              <c:f>Sheet1!$L$19:$L$29</c:f>
              <c:numCache>
                <c:formatCode>General</c:formatCode>
                <c:ptCount val="11"/>
                <c:pt idx="0">
                  <c:v>0</c:v>
                </c:pt>
                <c:pt idx="1">
                  <c:v>-2E-3</c:v>
                </c:pt>
                <c:pt idx="2">
                  <c:v>-2E-3</c:v>
                </c:pt>
                <c:pt idx="3">
                  <c:v>-3.0000000000000001E-3</c:v>
                </c:pt>
                <c:pt idx="4">
                  <c:v>-3.0000000000000001E-3</c:v>
                </c:pt>
                <c:pt idx="5">
                  <c:v>-5.0000000000000001E-3</c:v>
                </c:pt>
                <c:pt idx="6">
                  <c:v>-7.0000000000000001E-3</c:v>
                </c:pt>
                <c:pt idx="7">
                  <c:v>-7.0000000000000001E-3</c:v>
                </c:pt>
                <c:pt idx="8">
                  <c:v>-7.0000000000000001E-3</c:v>
                </c:pt>
                <c:pt idx="9">
                  <c:v>-9.0000000000000011E-3</c:v>
                </c:pt>
                <c:pt idx="10">
                  <c:v>-1.7000000000000001E-2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D7-8648-BFB4-A5439401EA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9477567"/>
        <c:axId val="439201231"/>
      </c:scatterChart>
      <c:valAx>
        <c:axId val="1029477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201231"/>
        <c:crosses val="autoZero"/>
        <c:crossBetween val="midCat"/>
      </c:valAx>
      <c:valAx>
        <c:axId val="439201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477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806450</xdr:colOff>
      <xdr:row>15</xdr:row>
      <xdr:rowOff>127000</xdr:rowOff>
    </xdr:from>
    <xdr:to>
      <xdr:col>5</xdr:col>
      <xdr:colOff>742950</xdr:colOff>
      <xdr:row>29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882A431-7DF2-8FC9-035A-93EE45BEC9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577850</xdr:colOff>
      <xdr:row>17</xdr:row>
      <xdr:rowOff>0</xdr:rowOff>
    </xdr:from>
    <xdr:to>
      <xdr:col>17</xdr:col>
      <xdr:colOff>82550</xdr:colOff>
      <xdr:row>30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A5D6FD2-C8BC-1D2D-3DE7-953D33E582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em-Miller, Jeffrey" refreshedDate="45757.581343981481" createdVersion="8" refreshedVersion="8" minRefreshableVersion="3" recordCount="14" xr:uid="{02395972-E172-E046-B63E-AB42625F6BD9}">
  <cacheSource type="worksheet">
    <worksheetSource ref="A1:H15" sheet="Sheet1"/>
  </cacheSource>
  <cacheFields count="8">
    <cacheField name="Date_collection" numFmtId="0">
      <sharedItems containsBlank="1"/>
    </cacheField>
    <cacheField name="Date_extract" numFmtId="0">
      <sharedItems containsBlank="1"/>
    </cacheField>
    <cacheField name="vol" numFmtId="0">
      <sharedItems containsSemiMixedTypes="0" containsString="0" containsNumber="1" containsInteger="1" minValue="500" maxValue="500"/>
    </cacheField>
    <cacheField name="plot" numFmtId="0">
      <sharedItems containsBlank="1" count="12">
        <s v="3C"/>
        <s v="2C"/>
        <s v="2H"/>
        <s v="4C"/>
        <s v="1H"/>
        <s v="5H"/>
        <s v="1C"/>
        <s v="6H"/>
        <s v="3H"/>
        <s v="6C"/>
        <s v="5C"/>
        <m u="1"/>
      </sharedItems>
    </cacheField>
    <cacheField name="LBLT" numFmtId="0">
      <sharedItems containsString="0" containsBlank="1" containsNumber="1" containsInteger="1" minValue="3886" maxValue="9895"/>
    </cacheField>
    <cacheField name="P_open" numFmtId="0">
      <sharedItems containsSemiMixedTypes="0" containsString="0" containsNumber="1" minValue="-8.9999999999999993E-3" maxValue="1E-3"/>
    </cacheField>
    <cacheField name="yield_torr" numFmtId="0">
      <sharedItems containsSemiMixedTypes="0" containsString="0" containsNumber="1" containsInteger="1" minValue="22" maxValue="57"/>
    </cacheField>
    <cacheField name="yield_mgC" numFmtId="0">
      <sharedItems containsString="0" containsBlank="1" containsNumber="1" minValue="0.13" maxValue="0.3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s v="7/17/2024"/>
    <m/>
    <n v="500"/>
    <x v="0"/>
    <n v="3886"/>
    <n v="-3.0000000000000001E-3"/>
    <n v="28"/>
    <n v="0.16"/>
  </r>
  <r>
    <s v="7/18/2024"/>
    <m/>
    <n v="500"/>
    <x v="1"/>
    <n v="3887"/>
    <n v="-3.0000000000000001E-3"/>
    <n v="31"/>
    <n v="0.17"/>
  </r>
  <r>
    <s v="7/18/2024"/>
    <m/>
    <n v="500"/>
    <x v="2"/>
    <n v="3888"/>
    <n v="-7.0000000000000001E-3"/>
    <n v="43"/>
    <n v="0.23"/>
  </r>
  <r>
    <s v="10/4/2024"/>
    <m/>
    <n v="500"/>
    <x v="3"/>
    <n v="3889"/>
    <n v="-7.0000000000000001E-3"/>
    <n v="22"/>
    <n v="0.13"/>
  </r>
  <r>
    <s v="9/23/2024"/>
    <m/>
    <n v="500"/>
    <x v="4"/>
    <n v="3890"/>
    <n v="-7.0000000000000001E-3"/>
    <n v="57"/>
    <n v="0.3"/>
  </r>
  <r>
    <s v="10/3/2024"/>
    <m/>
    <n v="500"/>
    <x v="5"/>
    <n v="3891"/>
    <n v="-2E-3"/>
    <n v="39"/>
    <n v="0.21"/>
  </r>
  <r>
    <s v="10/3/2024"/>
    <m/>
    <n v="500"/>
    <x v="6"/>
    <n v="3892"/>
    <n v="-2E-3"/>
    <n v="50"/>
    <n v="0.27"/>
  </r>
  <r>
    <s v="10/3/2024"/>
    <m/>
    <n v="500"/>
    <x v="7"/>
    <n v="3893"/>
    <n v="-5.0000000000000001E-3"/>
    <n v="40"/>
    <n v="0.22"/>
  </r>
  <r>
    <s v="7/17/2024"/>
    <s v="2/15/2024"/>
    <n v="500"/>
    <x v="8"/>
    <n v="3894"/>
    <n v="1E-3"/>
    <n v="23"/>
    <m/>
  </r>
  <r>
    <m/>
    <m/>
    <n v="500"/>
    <x v="8"/>
    <m/>
    <n v="-1E-3"/>
    <n v="30"/>
    <n v="0.28000000000000003"/>
  </r>
  <r>
    <s v="10/3/2024"/>
    <m/>
    <n v="500"/>
    <x v="9"/>
    <n v="9895"/>
    <n v="-5.0000000000000001E-3"/>
    <n v="32"/>
    <m/>
  </r>
  <r>
    <m/>
    <m/>
    <n v="500"/>
    <x v="9"/>
    <m/>
    <n v="-4.0000000000000001E-3"/>
    <n v="42"/>
    <n v="0.39"/>
  </r>
  <r>
    <s v="10/4/2024"/>
    <m/>
    <n v="500"/>
    <x v="10"/>
    <n v="3896"/>
    <n v="-8.9999999999999993E-3"/>
    <n v="27"/>
    <m/>
  </r>
  <r>
    <m/>
    <m/>
    <n v="500"/>
    <x v="10"/>
    <m/>
    <n v="-8.0000000000000002E-3"/>
    <n v="41"/>
    <n v="0.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F46F73-09FD-3B44-B972-0427824C7699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J1:N13" firstHeaderRow="0" firstDataRow="1" firstDataCol="1"/>
  <pivotFields count="8">
    <pivotField showAll="0"/>
    <pivotField showAll="0"/>
    <pivotField dataField="1" showAll="0"/>
    <pivotField axis="axisRow" showAll="0">
      <items count="13">
        <item x="6"/>
        <item x="4"/>
        <item x="1"/>
        <item x="2"/>
        <item x="0"/>
        <item x="8"/>
        <item x="3"/>
        <item x="10"/>
        <item x="5"/>
        <item x="9"/>
        <item x="7"/>
        <item m="1" x="11"/>
        <item t="default"/>
      </items>
    </pivotField>
    <pivotField showAll="0"/>
    <pivotField dataField="1" showAll="0"/>
    <pivotField dataField="1" showAll="0"/>
    <pivotField dataField="1" showAll="0"/>
  </pivotFields>
  <rowFields count="1">
    <field x="3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P_open" fld="5" baseField="0" baseItem="0"/>
    <dataField name="Sum of yield_torr" fld="6" baseField="0" baseItem="0"/>
    <dataField name="Sum of yield_mgC" fld="7" baseField="0" baseItem="0"/>
    <dataField name="Sum of vol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B0C09-4E6F-CC4C-8AC7-16DFD7E292A1}">
  <dimension ref="A1:N30"/>
  <sheetViews>
    <sheetView tabSelected="1" workbookViewId="0">
      <selection activeCell="I11" sqref="I11"/>
    </sheetView>
  </sheetViews>
  <sheetFormatPr baseColWidth="10" defaultRowHeight="16" x14ac:dyDescent="0.2"/>
  <cols>
    <col min="1" max="1" width="14.1640625" bestFit="1" customWidth="1"/>
    <col min="2" max="2" width="12.5" bestFit="1" customWidth="1"/>
    <col min="3" max="3" width="12.5" customWidth="1"/>
    <col min="10" max="10" width="13" bestFit="1" customWidth="1"/>
    <col min="11" max="11" width="13.1640625" bestFit="1" customWidth="1"/>
    <col min="12" max="12" width="14.83203125" bestFit="1" customWidth="1"/>
    <col min="13" max="13" width="15.83203125" bestFit="1" customWidth="1"/>
    <col min="14" max="14" width="9.5" bestFit="1" customWidth="1"/>
    <col min="15" max="15" width="13.1640625" bestFit="1" customWidth="1"/>
    <col min="16" max="16" width="14.83203125" bestFit="1" customWidth="1"/>
    <col min="17" max="17" width="13.1640625" bestFit="1" customWidth="1"/>
    <col min="18" max="18" width="14.83203125" bestFit="1" customWidth="1"/>
    <col min="19" max="19" width="13.1640625" bestFit="1" customWidth="1"/>
    <col min="20" max="20" width="14.83203125" bestFit="1" customWidth="1"/>
    <col min="21" max="21" width="13.1640625" bestFit="1" customWidth="1"/>
    <col min="22" max="22" width="14.83203125" bestFit="1" customWidth="1"/>
    <col min="23" max="23" width="13.1640625" bestFit="1" customWidth="1"/>
    <col min="24" max="24" width="14.83203125" bestFit="1" customWidth="1"/>
    <col min="25" max="25" width="13.1640625" bestFit="1" customWidth="1"/>
    <col min="26" max="26" width="14.83203125" bestFit="1" customWidth="1"/>
    <col min="27" max="27" width="13.1640625" bestFit="1" customWidth="1"/>
    <col min="28" max="28" width="14.83203125" bestFit="1" customWidth="1"/>
    <col min="29" max="29" width="13.1640625" bestFit="1" customWidth="1"/>
    <col min="30" max="30" width="14.83203125" bestFit="1" customWidth="1"/>
    <col min="31" max="31" width="13.1640625" bestFit="1" customWidth="1"/>
    <col min="32" max="32" width="14.83203125" bestFit="1" customWidth="1"/>
    <col min="33" max="33" width="13.1640625" bestFit="1" customWidth="1"/>
    <col min="34" max="34" width="14.83203125" bestFit="1" customWidth="1"/>
    <col min="35" max="35" width="17.6640625" bestFit="1" customWidth="1"/>
    <col min="36" max="36" width="19.33203125" bestFit="1" customWidth="1"/>
    <col min="37" max="37" width="6.83203125" bestFit="1" customWidth="1"/>
    <col min="38" max="38" width="7.5" bestFit="1" customWidth="1"/>
    <col min="39" max="39" width="10.5" bestFit="1" customWidth="1"/>
  </cols>
  <sheetData>
    <row r="1" spans="1:14" x14ac:dyDescent="0.2">
      <c r="A1" t="s">
        <v>3</v>
      </c>
      <c r="B1" t="s">
        <v>4</v>
      </c>
      <c r="C1" t="s">
        <v>24</v>
      </c>
      <c r="D1" t="s">
        <v>2</v>
      </c>
      <c r="E1" t="s">
        <v>0</v>
      </c>
      <c r="F1" t="s">
        <v>1</v>
      </c>
      <c r="G1" t="s">
        <v>13</v>
      </c>
      <c r="H1" t="s">
        <v>14</v>
      </c>
      <c r="J1" s="1" t="s">
        <v>26</v>
      </c>
      <c r="K1" t="s">
        <v>27</v>
      </c>
      <c r="L1" t="s">
        <v>28</v>
      </c>
      <c r="M1" t="s">
        <v>29</v>
      </c>
      <c r="N1" t="s">
        <v>30</v>
      </c>
    </row>
    <row r="2" spans="1:14" x14ac:dyDescent="0.2">
      <c r="A2" t="s">
        <v>5</v>
      </c>
      <c r="C2">
        <v>500</v>
      </c>
      <c r="D2" t="s">
        <v>12</v>
      </c>
      <c r="E2">
        <v>3886</v>
      </c>
      <c r="F2">
        <v>-3.0000000000000001E-3</v>
      </c>
      <c r="G2">
        <v>28</v>
      </c>
      <c r="H2">
        <v>0.16</v>
      </c>
      <c r="J2" s="3" t="s">
        <v>22</v>
      </c>
      <c r="K2" s="4">
        <v>-2E-3</v>
      </c>
      <c r="L2" s="4">
        <v>50</v>
      </c>
      <c r="M2" s="4">
        <v>0.27</v>
      </c>
      <c r="N2" s="4">
        <v>500</v>
      </c>
    </row>
    <row r="3" spans="1:14" x14ac:dyDescent="0.2">
      <c r="A3" t="s">
        <v>15</v>
      </c>
      <c r="C3">
        <v>500</v>
      </c>
      <c r="D3" t="s">
        <v>16</v>
      </c>
      <c r="E3">
        <v>3887</v>
      </c>
      <c r="F3">
        <v>-3.0000000000000001E-3</v>
      </c>
      <c r="G3">
        <v>31</v>
      </c>
      <c r="H3">
        <v>0.17</v>
      </c>
      <c r="J3" s="3" t="s">
        <v>20</v>
      </c>
      <c r="K3" s="4">
        <v>-7.0000000000000001E-3</v>
      </c>
      <c r="L3" s="4">
        <v>57</v>
      </c>
      <c r="M3" s="4">
        <v>0.3</v>
      </c>
      <c r="N3" s="4">
        <v>500</v>
      </c>
    </row>
    <row r="4" spans="1:14" x14ac:dyDescent="0.2">
      <c r="A4" t="s">
        <v>15</v>
      </c>
      <c r="C4">
        <v>500</v>
      </c>
      <c r="D4" t="s">
        <v>17</v>
      </c>
      <c r="E4">
        <v>3888</v>
      </c>
      <c r="F4">
        <v>-7.0000000000000001E-3</v>
      </c>
      <c r="G4">
        <v>43</v>
      </c>
      <c r="H4">
        <v>0.23</v>
      </c>
      <c r="J4" s="3" t="s">
        <v>16</v>
      </c>
      <c r="K4" s="4">
        <v>-3.0000000000000001E-3</v>
      </c>
      <c r="L4" s="4">
        <v>31</v>
      </c>
      <c r="M4" s="4">
        <v>0.17</v>
      </c>
      <c r="N4" s="4">
        <v>500</v>
      </c>
    </row>
    <row r="5" spans="1:14" x14ac:dyDescent="0.2">
      <c r="A5" t="s">
        <v>10</v>
      </c>
      <c r="C5">
        <v>500</v>
      </c>
      <c r="D5" t="s">
        <v>18</v>
      </c>
      <c r="E5">
        <v>3889</v>
      </c>
      <c r="F5">
        <v>-7.0000000000000001E-3</v>
      </c>
      <c r="G5">
        <v>22</v>
      </c>
      <c r="H5">
        <v>0.13</v>
      </c>
      <c r="J5" s="3" t="s">
        <v>17</v>
      </c>
      <c r="K5" s="4">
        <v>-7.0000000000000001E-3</v>
      </c>
      <c r="L5" s="4">
        <v>43</v>
      </c>
      <c r="M5" s="4">
        <v>0.23</v>
      </c>
      <c r="N5" s="4">
        <v>500</v>
      </c>
    </row>
    <row r="6" spans="1:14" x14ac:dyDescent="0.2">
      <c r="A6" t="s">
        <v>19</v>
      </c>
      <c r="C6">
        <v>500</v>
      </c>
      <c r="D6" t="s">
        <v>20</v>
      </c>
      <c r="E6">
        <v>3890</v>
      </c>
      <c r="F6">
        <v>-7.0000000000000001E-3</v>
      </c>
      <c r="G6">
        <v>57</v>
      </c>
      <c r="H6">
        <v>0.3</v>
      </c>
      <c r="J6" s="3" t="s">
        <v>12</v>
      </c>
      <c r="K6" s="4">
        <v>-3.0000000000000001E-3</v>
      </c>
      <c r="L6" s="4">
        <v>28</v>
      </c>
      <c r="M6" s="4">
        <v>0.16</v>
      </c>
      <c r="N6" s="4">
        <v>500</v>
      </c>
    </row>
    <row r="7" spans="1:14" x14ac:dyDescent="0.2">
      <c r="A7" t="s">
        <v>8</v>
      </c>
      <c r="C7">
        <v>500</v>
      </c>
      <c r="D7" t="s">
        <v>21</v>
      </c>
      <c r="E7">
        <v>3891</v>
      </c>
      <c r="F7">
        <v>-2E-3</v>
      </c>
      <c r="G7">
        <v>39</v>
      </c>
      <c r="H7">
        <v>0.21</v>
      </c>
      <c r="J7" s="3" t="s">
        <v>7</v>
      </c>
      <c r="K7" s="4">
        <v>0</v>
      </c>
      <c r="L7" s="4">
        <v>53</v>
      </c>
      <c r="M7" s="4">
        <v>0.28000000000000003</v>
      </c>
      <c r="N7" s="4">
        <v>1000</v>
      </c>
    </row>
    <row r="8" spans="1:14" x14ac:dyDescent="0.2">
      <c r="A8" t="s">
        <v>8</v>
      </c>
      <c r="C8">
        <v>500</v>
      </c>
      <c r="D8" t="s">
        <v>22</v>
      </c>
      <c r="E8">
        <v>3892</v>
      </c>
      <c r="F8">
        <f>F7</f>
        <v>-2E-3</v>
      </c>
      <c r="G8">
        <v>50</v>
      </c>
      <c r="H8">
        <v>0.27</v>
      </c>
      <c r="J8" s="3" t="s">
        <v>18</v>
      </c>
      <c r="K8" s="4">
        <v>-7.0000000000000001E-3</v>
      </c>
      <c r="L8" s="4">
        <v>22</v>
      </c>
      <c r="M8" s="4">
        <v>0.13</v>
      </c>
      <c r="N8" s="4">
        <v>500</v>
      </c>
    </row>
    <row r="9" spans="1:14" x14ac:dyDescent="0.2">
      <c r="A9" t="str">
        <f>A8</f>
        <v>10/3/2024</v>
      </c>
      <c r="C9">
        <v>500</v>
      </c>
      <c r="D9" t="s">
        <v>23</v>
      </c>
      <c r="E9">
        <v>3893</v>
      </c>
      <c r="F9">
        <v>-5.0000000000000001E-3</v>
      </c>
      <c r="G9">
        <v>40</v>
      </c>
      <c r="H9">
        <v>0.22</v>
      </c>
      <c r="J9" s="3" t="s">
        <v>11</v>
      </c>
      <c r="K9" s="4">
        <v>-1.7000000000000001E-2</v>
      </c>
      <c r="L9" s="4">
        <v>68</v>
      </c>
      <c r="M9" s="4">
        <v>0.36</v>
      </c>
      <c r="N9" s="4">
        <v>1000</v>
      </c>
    </row>
    <row r="10" spans="1:14" x14ac:dyDescent="0.2">
      <c r="A10" t="s">
        <v>5</v>
      </c>
      <c r="B10" t="s">
        <v>6</v>
      </c>
      <c r="C10">
        <v>500</v>
      </c>
      <c r="D10" t="s">
        <v>7</v>
      </c>
      <c r="E10">
        <v>3894</v>
      </c>
      <c r="F10">
        <v>1E-3</v>
      </c>
      <c r="G10">
        <v>23</v>
      </c>
      <c r="J10" s="3" t="s">
        <v>21</v>
      </c>
      <c r="K10" s="4">
        <v>-2E-3</v>
      </c>
      <c r="L10" s="4">
        <v>39</v>
      </c>
      <c r="M10" s="4">
        <v>0.21</v>
      </c>
      <c r="N10" s="4">
        <v>500</v>
      </c>
    </row>
    <row r="11" spans="1:14" x14ac:dyDescent="0.2">
      <c r="C11">
        <v>500</v>
      </c>
      <c r="D11" t="s">
        <v>7</v>
      </c>
      <c r="F11">
        <v>-1E-3</v>
      </c>
      <c r="G11">
        <f>53-G10</f>
        <v>30</v>
      </c>
      <c r="H11">
        <v>0.28000000000000003</v>
      </c>
      <c r="J11" s="3" t="s">
        <v>9</v>
      </c>
      <c r="K11" s="4">
        <v>-9.0000000000000011E-3</v>
      </c>
      <c r="L11" s="4">
        <v>74</v>
      </c>
      <c r="M11" s="4">
        <v>0.39</v>
      </c>
      <c r="N11" s="4">
        <v>1000</v>
      </c>
    </row>
    <row r="12" spans="1:14" x14ac:dyDescent="0.2">
      <c r="A12" t="s">
        <v>8</v>
      </c>
      <c r="C12">
        <v>500</v>
      </c>
      <c r="D12" t="s">
        <v>9</v>
      </c>
      <c r="E12">
        <v>9895</v>
      </c>
      <c r="F12">
        <v>-5.0000000000000001E-3</v>
      </c>
      <c r="G12">
        <v>32</v>
      </c>
      <c r="J12" s="3" t="s">
        <v>23</v>
      </c>
      <c r="K12" s="4">
        <v>-5.0000000000000001E-3</v>
      </c>
      <c r="L12" s="4">
        <v>40</v>
      </c>
      <c r="M12" s="4">
        <v>0.22</v>
      </c>
      <c r="N12" s="4">
        <v>500</v>
      </c>
    </row>
    <row r="13" spans="1:14" x14ac:dyDescent="0.2">
      <c r="C13">
        <v>500</v>
      </c>
      <c r="D13" t="s">
        <v>9</v>
      </c>
      <c r="F13">
        <v>-4.0000000000000001E-3</v>
      </c>
      <c r="G13">
        <f>74-G12</f>
        <v>42</v>
      </c>
      <c r="H13">
        <v>0.39</v>
      </c>
      <c r="J13" s="3" t="s">
        <v>25</v>
      </c>
      <c r="K13" s="4">
        <v>-6.2E-2</v>
      </c>
      <c r="L13" s="4">
        <v>505</v>
      </c>
      <c r="M13" s="4">
        <v>2.72</v>
      </c>
      <c r="N13" s="4">
        <v>7000</v>
      </c>
    </row>
    <row r="14" spans="1:14" x14ac:dyDescent="0.2">
      <c r="A14" t="s">
        <v>10</v>
      </c>
      <c r="C14">
        <v>500</v>
      </c>
      <c r="D14" t="s">
        <v>11</v>
      </c>
      <c r="E14">
        <v>3896</v>
      </c>
      <c r="F14">
        <v>-8.9999999999999993E-3</v>
      </c>
      <c r="G14">
        <v>27</v>
      </c>
    </row>
    <row r="15" spans="1:14" x14ac:dyDescent="0.2">
      <c r="C15">
        <v>500</v>
      </c>
      <c r="D15" t="s">
        <v>11</v>
      </c>
      <c r="F15">
        <v>-8.0000000000000002E-3</v>
      </c>
      <c r="G15">
        <f>68-G14</f>
        <v>41</v>
      </c>
      <c r="H15">
        <v>0.36</v>
      </c>
    </row>
    <row r="18" spans="9:12" x14ac:dyDescent="0.2">
      <c r="I18" s="2" t="s">
        <v>30</v>
      </c>
      <c r="J18" s="2" t="s">
        <v>29</v>
      </c>
      <c r="K18" s="2" t="s">
        <v>28</v>
      </c>
      <c r="L18" s="2" t="s">
        <v>27</v>
      </c>
    </row>
    <row r="19" spans="9:12" x14ac:dyDescent="0.2">
      <c r="I19" s="4">
        <v>1000</v>
      </c>
      <c r="J19" s="4">
        <v>0.28000000000000003</v>
      </c>
      <c r="K19" s="4">
        <v>53</v>
      </c>
      <c r="L19" s="4">
        <v>0</v>
      </c>
    </row>
    <row r="20" spans="9:12" x14ac:dyDescent="0.2">
      <c r="I20" s="4">
        <v>500</v>
      </c>
      <c r="J20" s="4">
        <v>0.21</v>
      </c>
      <c r="K20" s="4">
        <v>39</v>
      </c>
      <c r="L20" s="4">
        <v>-2E-3</v>
      </c>
    </row>
    <row r="21" spans="9:12" x14ac:dyDescent="0.2">
      <c r="I21" s="4">
        <v>500</v>
      </c>
      <c r="J21" s="4">
        <v>0.27</v>
      </c>
      <c r="K21" s="4">
        <v>50</v>
      </c>
      <c r="L21" s="4">
        <v>-2E-3</v>
      </c>
    </row>
    <row r="22" spans="9:12" x14ac:dyDescent="0.2">
      <c r="I22" s="4">
        <v>500</v>
      </c>
      <c r="J22" s="4">
        <v>0.16</v>
      </c>
      <c r="K22" s="4">
        <v>28</v>
      </c>
      <c r="L22" s="4">
        <v>-3.0000000000000001E-3</v>
      </c>
    </row>
    <row r="23" spans="9:12" x14ac:dyDescent="0.2">
      <c r="I23" s="4">
        <v>500</v>
      </c>
      <c r="J23" s="4">
        <v>0.17</v>
      </c>
      <c r="K23" s="4">
        <v>31</v>
      </c>
      <c r="L23" s="4">
        <v>-3.0000000000000001E-3</v>
      </c>
    </row>
    <row r="24" spans="9:12" x14ac:dyDescent="0.2">
      <c r="I24" s="4">
        <v>500</v>
      </c>
      <c r="J24" s="4">
        <v>0.22</v>
      </c>
      <c r="K24" s="4">
        <v>40</v>
      </c>
      <c r="L24" s="4">
        <v>-5.0000000000000001E-3</v>
      </c>
    </row>
    <row r="25" spans="9:12" x14ac:dyDescent="0.2">
      <c r="I25" s="4">
        <v>500</v>
      </c>
      <c r="J25" s="4">
        <v>0.13</v>
      </c>
      <c r="K25" s="4">
        <v>22</v>
      </c>
      <c r="L25" s="4">
        <v>-7.0000000000000001E-3</v>
      </c>
    </row>
    <row r="26" spans="9:12" x14ac:dyDescent="0.2">
      <c r="I26" s="4">
        <v>500</v>
      </c>
      <c r="J26" s="4">
        <v>0.23</v>
      </c>
      <c r="K26" s="4">
        <v>43</v>
      </c>
      <c r="L26" s="4">
        <v>-7.0000000000000001E-3</v>
      </c>
    </row>
    <row r="27" spans="9:12" x14ac:dyDescent="0.2">
      <c r="I27" s="4">
        <v>500</v>
      </c>
      <c r="J27" s="4">
        <v>0.3</v>
      </c>
      <c r="K27" s="4">
        <v>57</v>
      </c>
      <c r="L27" s="4">
        <v>-7.0000000000000001E-3</v>
      </c>
    </row>
    <row r="28" spans="9:12" x14ac:dyDescent="0.2">
      <c r="I28" s="4">
        <v>1000</v>
      </c>
      <c r="J28" s="4">
        <v>0.39</v>
      </c>
      <c r="K28" s="4">
        <v>74</v>
      </c>
      <c r="L28" s="4">
        <v>-9.0000000000000011E-3</v>
      </c>
    </row>
    <row r="29" spans="9:12" x14ac:dyDescent="0.2">
      <c r="I29" s="4">
        <v>1000</v>
      </c>
      <c r="J29" s="4">
        <v>0.36</v>
      </c>
      <c r="K29" s="4">
        <v>68</v>
      </c>
      <c r="L29" s="4">
        <v>-1.7000000000000001E-2</v>
      </c>
    </row>
    <row r="30" spans="9:12" x14ac:dyDescent="0.2">
      <c r="K30" s="5"/>
    </row>
  </sheetData>
  <sortState xmlns:xlrd2="http://schemas.microsoft.com/office/spreadsheetml/2017/richdata2" ref="I19:L29">
    <sortCondition descending="1" ref="L19:L29"/>
  </sortState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Beem-Miller, Jeffrey</dc:creator>
  <cp:lastModifiedBy>Beem-Miller, Jeffrey</cp:lastModifiedBy>
  <dcterms:created xsi:type="dcterms:W3CDTF">2025-04-10T11:41:09Z</dcterms:created>
  <dcterms:modified xsi:type="dcterms:W3CDTF">2025-04-10T12:03:42Z</dcterms:modified>
</cp:coreProperties>
</file>