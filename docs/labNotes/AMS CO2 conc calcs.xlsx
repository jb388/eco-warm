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beemmil@umich.edu/Downloads/"/>
    </mc:Choice>
  </mc:AlternateContent>
  <xr:revisionPtr revIDLastSave="0" documentId="13_ncr:1_{C632A86D-CE5C-6E4D-AB3F-4ABA4830475A}" xr6:coauthVersionLast="47" xr6:coauthVersionMax="47" xr10:uidLastSave="{00000000-0000-0000-0000-000000000000}"/>
  <bookViews>
    <workbookView xWindow="240" yWindow="760" windowWidth="25360" windowHeight="17220" tabRatio="50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1" l="1"/>
  <c r="E11" i="1"/>
  <c r="F11" i="1"/>
  <c r="H11" i="1"/>
  <c r="I11" i="1"/>
  <c r="I10" i="1"/>
  <c r="I9" i="1"/>
  <c r="I8" i="1"/>
  <c r="C8" i="1"/>
  <c r="B4" i="1"/>
  <c r="H8" i="1"/>
  <c r="H9" i="1"/>
  <c r="H10" i="1"/>
  <c r="L5" i="1"/>
  <c r="F4" i="1"/>
  <c r="L6" i="1"/>
  <c r="L3" i="1"/>
  <c r="E8" i="1"/>
  <c r="F8" i="1" s="1"/>
  <c r="G8" i="1" s="1"/>
  <c r="E9" i="1"/>
  <c r="F9" i="1" s="1"/>
  <c r="G9" i="1" s="1"/>
  <c r="D10" i="1"/>
  <c r="D11" i="1" s="1"/>
  <c r="E10" i="1"/>
  <c r="F10" i="1" s="1"/>
  <c r="G10" i="1" s="1"/>
  <c r="C9" i="1"/>
  <c r="C10" i="1"/>
  <c r="C11" i="1"/>
  <c r="B3" i="1"/>
  <c r="L7" i="1"/>
  <c r="L8" i="1"/>
  <c r="L4" i="1"/>
</calcChain>
</file>

<file path=xl/sharedStrings.xml><?xml version="1.0" encoding="utf-8"?>
<sst xmlns="http://schemas.openxmlformats.org/spreadsheetml/2006/main" count="40" uniqueCount="31">
  <si>
    <t>mgC</t>
  </si>
  <si>
    <t>mg</t>
  </si>
  <si>
    <t>CO2</t>
  </si>
  <si>
    <t>Minimum C needed:</t>
  </si>
  <si>
    <t>Target C:</t>
  </si>
  <si>
    <t>units</t>
  </si>
  <si>
    <t>ppm</t>
  </si>
  <si>
    <t>C</t>
  </si>
  <si>
    <t>O</t>
  </si>
  <si>
    <t>element</t>
  </si>
  <si>
    <t>atomic.mass</t>
  </si>
  <si>
    <t>gas constant (R)</t>
  </si>
  <si>
    <t>atm L mol-1 K-1</t>
  </si>
  <si>
    <t>mole fraction C</t>
  </si>
  <si>
    <t>gas law</t>
  </si>
  <si>
    <t>PV=nRT</t>
  </si>
  <si>
    <t>ml</t>
  </si>
  <si>
    <t>target CO2</t>
  </si>
  <si>
    <t>moles gas @ 20C, 1 atm, 1L</t>
  </si>
  <si>
    <t>pure CO2</t>
  </si>
  <si>
    <t>%</t>
  </si>
  <si>
    <t>CO2 for 1 mg C</t>
  </si>
  <si>
    <t>g L-1</t>
  </si>
  <si>
    <t>mol L-1</t>
  </si>
  <si>
    <t>check</t>
  </si>
  <si>
    <t>Incubation jar size</t>
  </si>
  <si>
    <t>mg C per 100 mL</t>
  </si>
  <si>
    <t># aliquots needed</t>
  </si>
  <si>
    <t>per 100 mL</t>
  </si>
  <si>
    <t>per 200 mL</t>
  </si>
  <si>
    <t>Inc. jar %CO2 conc. for 1 mgC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</si>
</sst>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F11" sqref="F11"/>
    </sheetView>
  </sheetViews>
  <sheetFormatPr baseColWidth="10" defaultRowHeight="16" x14ac:dyDescent="0.2"/>
  <cols>
    <col min="1" max="1" width="22" bestFit="1" customWidth="1"/>
    <col min="6" max="6" width="15.5" bestFit="1" customWidth="1"/>
    <col min="7" max="7" width="15.83203125" bestFit="1" customWidth="1"/>
    <col min="8" max="9" width="12.1640625" bestFit="1" customWidth="1"/>
    <col min="10" max="10" width="12.1640625" customWidth="1"/>
    <col min="11" max="11" width="23.5" bestFit="1" customWidth="1"/>
  </cols>
  <sheetData>
    <row r="1" spans="1:13" x14ac:dyDescent="0.2">
      <c r="C1" t="s">
        <v>5</v>
      </c>
      <c r="E1" t="s">
        <v>9</v>
      </c>
      <c r="F1" t="s">
        <v>10</v>
      </c>
      <c r="K1" t="s">
        <v>14</v>
      </c>
      <c r="L1" t="s">
        <v>15</v>
      </c>
    </row>
    <row r="2" spans="1:13" x14ac:dyDescent="0.2">
      <c r="A2" t="s">
        <v>3</v>
      </c>
      <c r="B2" s="1">
        <v>0.5</v>
      </c>
      <c r="C2" t="s">
        <v>1</v>
      </c>
      <c r="E2" t="s">
        <v>7</v>
      </c>
      <c r="F2">
        <v>12</v>
      </c>
      <c r="K2" t="s">
        <v>11</v>
      </c>
      <c r="L2">
        <v>8.2100000000000006E-2</v>
      </c>
      <c r="M2" t="s">
        <v>12</v>
      </c>
    </row>
    <row r="3" spans="1:13" x14ac:dyDescent="0.2">
      <c r="A3" t="s">
        <v>4</v>
      </c>
      <c r="B3" s="1">
        <f>B2*2</f>
        <v>1</v>
      </c>
      <c r="C3" t="s">
        <v>1</v>
      </c>
      <c r="E3" t="s">
        <v>8</v>
      </c>
      <c r="F3">
        <v>16</v>
      </c>
      <c r="K3" t="s">
        <v>13</v>
      </c>
      <c r="L3">
        <f>F2/F4</f>
        <v>0.27272727272727271</v>
      </c>
    </row>
    <row r="4" spans="1:13" x14ac:dyDescent="0.2">
      <c r="A4" t="s">
        <v>2</v>
      </c>
      <c r="B4" s="1">
        <f>B3/L3</f>
        <v>3.666666666666667</v>
      </c>
      <c r="C4" t="s">
        <v>1</v>
      </c>
      <c r="E4" t="s">
        <v>2</v>
      </c>
      <c r="F4">
        <f>F3*2+F2</f>
        <v>44</v>
      </c>
      <c r="K4" t="s">
        <v>6</v>
      </c>
      <c r="L4">
        <f>1/10^6</f>
        <v>9.9999999999999995E-7</v>
      </c>
    </row>
    <row r="5" spans="1:13" x14ac:dyDescent="0.2">
      <c r="K5" t="s">
        <v>18</v>
      </c>
      <c r="L5">
        <f>1/(L2*293)</f>
        <v>4.1570880429676618E-2</v>
      </c>
      <c r="M5" t="s">
        <v>23</v>
      </c>
    </row>
    <row r="6" spans="1:13" x14ac:dyDescent="0.2">
      <c r="C6" s="3" t="s">
        <v>17</v>
      </c>
      <c r="D6" s="3"/>
      <c r="H6" s="3" t="s">
        <v>30</v>
      </c>
      <c r="I6" s="3"/>
      <c r="K6" t="s">
        <v>19</v>
      </c>
      <c r="L6">
        <f>L5*F4</f>
        <v>1.8291187389057713</v>
      </c>
      <c r="M6" t="s">
        <v>22</v>
      </c>
    </row>
    <row r="7" spans="1:13" x14ac:dyDescent="0.2">
      <c r="A7" t="s">
        <v>25</v>
      </c>
      <c r="B7" t="s">
        <v>5</v>
      </c>
      <c r="C7" t="s">
        <v>6</v>
      </c>
      <c r="D7" t="s">
        <v>20</v>
      </c>
      <c r="E7" t="s">
        <v>0</v>
      </c>
      <c r="F7" t="s">
        <v>26</v>
      </c>
      <c r="G7" t="s">
        <v>27</v>
      </c>
      <c r="H7" t="s">
        <v>28</v>
      </c>
      <c r="I7" t="s">
        <v>29</v>
      </c>
      <c r="K7" t="s">
        <v>21</v>
      </c>
      <c r="L7">
        <f>(B4/(L6*1000))*100</f>
        <v>0.20046083333333334</v>
      </c>
      <c r="M7" t="s">
        <v>20</v>
      </c>
    </row>
    <row r="8" spans="1:13" x14ac:dyDescent="0.2">
      <c r="A8">
        <v>100</v>
      </c>
      <c r="B8" t="s">
        <v>16</v>
      </c>
      <c r="C8">
        <f>D8/100*10^6</f>
        <v>20000</v>
      </c>
      <c r="D8">
        <v>2</v>
      </c>
      <c r="E8" s="1">
        <f>(D8/100)*$L$6*1000*$L$3*(A8/1000)</f>
        <v>0.99770113031223895</v>
      </c>
      <c r="F8" s="1">
        <f>(100/A8)*E8</f>
        <v>0.99770113031223895</v>
      </c>
      <c r="G8" s="1">
        <f>1/F8</f>
        <v>1.0023041666666666</v>
      </c>
      <c r="H8" s="1">
        <f>1/((0.1/($L$2*293))*$F$2*10^3)*100</f>
        <v>2.0046083333333331</v>
      </c>
      <c r="I8" s="1">
        <f>1/((0.2/($L$2*293))*$F$2*10^3)*100</f>
        <v>1.0023041666666666</v>
      </c>
      <c r="K8" s="2" t="s">
        <v>24</v>
      </c>
      <c r="L8">
        <f>((L7/100)/(L2*293))*F2*1000</f>
        <v>1</v>
      </c>
    </row>
    <row r="9" spans="1:13" x14ac:dyDescent="0.2">
      <c r="A9">
        <v>250</v>
      </c>
      <c r="B9" t="s">
        <v>16</v>
      </c>
      <c r="C9">
        <f>D9/100*10^6</f>
        <v>8000</v>
      </c>
      <c r="D9">
        <v>0.8</v>
      </c>
      <c r="E9" s="1">
        <f>(D9/100)*$L$6*1000*$L$3*(A9/1000)</f>
        <v>0.99770113031223884</v>
      </c>
      <c r="F9" s="1">
        <f>(100/A9)*E9</f>
        <v>0.39908045212489557</v>
      </c>
      <c r="G9" s="1">
        <f>1/F9</f>
        <v>2.5057604166666665</v>
      </c>
      <c r="H9" s="1">
        <f t="shared" ref="H9:H11" si="0">1/((0.1/($L$2*293))*$F$2*10^3)*100</f>
        <v>2.0046083333333331</v>
      </c>
      <c r="I9" s="1">
        <f>1/((0.2/($L$2*293))*$F$2*10^3)*100</f>
        <v>1.0023041666666666</v>
      </c>
    </row>
    <row r="10" spans="1:13" x14ac:dyDescent="0.2">
      <c r="A10">
        <v>500</v>
      </c>
      <c r="B10" t="s">
        <v>16</v>
      </c>
      <c r="C10">
        <f>C9/2</f>
        <v>4000</v>
      </c>
      <c r="D10">
        <f>D9*(A9/A10)</f>
        <v>0.4</v>
      </c>
      <c r="E10" s="1">
        <f>(D10/100)*$L$6*1000*$L$3*(A10/1000)</f>
        <v>0.99770113031223884</v>
      </c>
      <c r="F10" s="1">
        <f t="shared" ref="F10:F11" si="1">(100/A10)*E10</f>
        <v>0.19954022606244778</v>
      </c>
      <c r="G10" s="1">
        <f t="shared" ref="G10:G11" si="2">1/F10</f>
        <v>5.011520833333333</v>
      </c>
      <c r="H10" s="1">
        <f t="shared" si="0"/>
        <v>2.0046083333333331</v>
      </c>
      <c r="I10" s="1">
        <f>1/((0.2/($L$2*293))*$F$2*10^3)*100</f>
        <v>1.0023041666666666</v>
      </c>
    </row>
    <row r="11" spans="1:13" x14ac:dyDescent="0.2">
      <c r="A11">
        <v>1000</v>
      </c>
      <c r="B11" t="s">
        <v>16</v>
      </c>
      <c r="C11">
        <f>C10/2</f>
        <v>2000</v>
      </c>
      <c r="D11">
        <f>D10*(A10/A11)</f>
        <v>0.2</v>
      </c>
      <c r="E11" s="1">
        <f>(D11/100)*$L$6*1000*$L$3*(A11/1000)</f>
        <v>0.99770113031223884</v>
      </c>
      <c r="F11" s="1">
        <f>(100/A11)*E11</f>
        <v>9.9770113031223892E-2</v>
      </c>
      <c r="G11" s="1">
        <f>1/F11</f>
        <v>10.023041666666666</v>
      </c>
      <c r="H11" s="1">
        <f>1/((0.1/($L$2*293))*$F$2*10^3)*100</f>
        <v>2.0046083333333331</v>
      </c>
      <c r="I11" s="1">
        <f>1/((0.2/($L$2*293))*$F$2*10^3)*100</f>
        <v>1.0023041666666666</v>
      </c>
    </row>
  </sheetData>
  <mergeCells count="2">
    <mergeCell ref="C6:D6"/>
    <mergeCell ref="H6:I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MPI-BGC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Beem-Miller</dc:creator>
  <cp:lastModifiedBy>Beem-Miller, Jeffrey</cp:lastModifiedBy>
  <dcterms:created xsi:type="dcterms:W3CDTF">2018-06-04T08:08:21Z</dcterms:created>
  <dcterms:modified xsi:type="dcterms:W3CDTF">2025-01-15T08:51:50Z</dcterms:modified>
</cp:coreProperties>
</file>